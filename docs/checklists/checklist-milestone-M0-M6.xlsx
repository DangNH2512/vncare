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quan" sheetId="1" state="visible" r:id="rId1"/>
    <sheet name="M0" sheetId="2" state="visible" r:id="rId2"/>
    <sheet name="M1" sheetId="3" state="visible" r:id="rId3"/>
    <sheet name="M2" sheetId="4" state="visible" r:id="rId4"/>
    <sheet name="M3" sheetId="5" state="visible" r:id="rId5"/>
    <sheet name="M4" sheetId="6" state="visible" r:id="rId6"/>
    <sheet name="M5" sheetId="7" state="visible" r:id="rId7"/>
    <sheet name="M6" sheetId="8" state="visible" r:id="rId8"/>
    <sheet name="Chú thích" sheetId="9" state="visible" r:id="rId9"/>
  </sheets>
  <definedNames>
    <definedName name="_xlnm._FilterDatabase" localSheetId="1" hidden="1">'M0'!$A$5:$M$38</definedName>
    <definedName name="_xlnm.Print_Titles" localSheetId="1">'M0'!$5:$5</definedName>
    <definedName name="_xlnm._FilterDatabase" localSheetId="2" hidden="1">'M1'!$A$5:$M$54</definedName>
    <definedName name="_xlnm.Print_Titles" localSheetId="2">'M1'!$5:$5</definedName>
    <definedName name="_xlnm._FilterDatabase" localSheetId="3" hidden="1">'M2'!$A$5:$M$73</definedName>
    <definedName name="_xlnm.Print_Titles" localSheetId="3">'M2'!$5:$5</definedName>
    <definedName name="_xlnm._FilterDatabase" localSheetId="4" hidden="1">'M3'!$A$5:$M$45</definedName>
    <definedName name="_xlnm.Print_Titles" localSheetId="4">'M3'!$5:$5</definedName>
    <definedName name="_xlnm._FilterDatabase" localSheetId="5" hidden="1">'M4'!$A$5:$M$42</definedName>
    <definedName name="_xlnm.Print_Titles" localSheetId="5">'M4'!$5:$5</definedName>
    <definedName name="_xlnm._FilterDatabase" localSheetId="6" hidden="1">'M5'!$A$5:$M$58</definedName>
    <definedName name="_xlnm.Print_Titles" localSheetId="6">'M5'!$5:$5</definedName>
    <definedName name="_xlnm._FilterDatabase" localSheetId="7" hidden="1">'M6'!$A$5:$M$55</definedName>
    <definedName name="_xlnm.Print_Titles" localSheetId="7">'M6'!$5:$5</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0F172A"/>
      <sz val="14"/>
    </font>
    <font>
      <name val="Arial"/>
      <color rgb="000F172A"/>
      <sz val="10"/>
    </font>
    <font>
      <name val="Arial"/>
      <i val="1"/>
      <color rgb="009A3412"/>
      <sz val="10"/>
    </font>
    <font>
      <name val="Arial"/>
      <b val="1"/>
      <color rgb="000F172A"/>
      <sz val="10"/>
    </font>
    <font>
      <name val="Arial"/>
      <b val="1"/>
      <color rgb="00166534"/>
      <sz val="10"/>
    </font>
    <font>
      <name val="Arial"/>
      <b val="1"/>
      <color rgb="0092400E"/>
      <sz val="10"/>
    </font>
    <font>
      <name val="Arial"/>
      <b val="1"/>
      <color rgb="00334155"/>
      <sz val="10"/>
    </font>
    <font>
      <name val="Arial"/>
      <b val="1"/>
      <color rgb="00991B1B"/>
      <sz val="10"/>
    </font>
    <font>
      <name val="Arial"/>
      <b val="1"/>
      <color rgb="005B21B6"/>
      <sz val="10"/>
    </font>
    <font>
      <name val="Arial"/>
      <b val="1"/>
      <color rgb="00075985"/>
      <sz val="10"/>
    </font>
    <font>
      <name val="Arial"/>
      <b val="1"/>
      <color rgb="000369A1"/>
      <sz val="10"/>
    </font>
    <font>
      <name val="Arial"/>
      <b val="1"/>
      <color rgb="00FFFFFF"/>
      <sz val="10"/>
    </font>
    <font>
      <name val="Arial"/>
      <b val="1"/>
      <color rgb="009F1239"/>
      <sz val="10"/>
    </font>
    <font>
      <name val="Arial"/>
      <b val="1"/>
      <color rgb="000F172A"/>
      <sz val="15"/>
    </font>
    <font>
      <name val="Arial"/>
      <i val="1"/>
      <color rgb="00475569"/>
      <sz val="10"/>
    </font>
    <font>
      <name val="Arial"/>
      <b val="1"/>
      <color rgb="000369A1"/>
      <u val="single"/>
    </font>
    <font>
      <name val="Arial"/>
      <b val="1"/>
      <color rgb="000369A1"/>
      <sz val="11"/>
    </font>
  </fonts>
  <fills count="16">
    <fill>
      <patternFill/>
    </fill>
    <fill>
      <patternFill patternType="gray125"/>
    </fill>
    <fill>
      <patternFill patternType="solid">
        <fgColor rgb="00DCFCE7"/>
      </patternFill>
    </fill>
    <fill>
      <patternFill patternType="solid">
        <fgColor rgb="00FEF3C7"/>
      </patternFill>
    </fill>
    <fill>
      <patternFill patternType="solid">
        <fgColor rgb="00F1F5F9"/>
      </patternFill>
    </fill>
    <fill>
      <patternFill patternType="solid">
        <fgColor rgb="00FEE2E2"/>
      </patternFill>
    </fill>
    <fill>
      <patternFill patternType="solid">
        <fgColor rgb="00EDE9FE"/>
      </patternFill>
    </fill>
    <fill>
      <patternFill patternType="solid">
        <fgColor rgb="00E0F2FE"/>
      </patternFill>
    </fill>
    <fill>
      <patternFill patternType="solid">
        <fgColor rgb="000F172A"/>
      </patternFill>
    </fill>
    <fill>
      <patternFill patternType="solid">
        <fgColor rgb="00FFF1F2"/>
      </patternFill>
    </fill>
    <fill>
      <patternFill patternType="solid">
        <fgColor rgb="00FFFFFF"/>
      </patternFill>
    </fill>
    <fill>
      <patternFill patternType="solid">
        <fgColor rgb="00F8FAFC"/>
      </patternFill>
    </fill>
    <fill>
      <patternFill patternType="solid">
        <fgColor rgb="00F0FDF4"/>
      </patternFill>
    </fill>
    <fill>
      <patternFill patternType="solid">
        <fgColor rgb="00FAF5FF"/>
      </patternFill>
    </fill>
    <fill>
      <patternFill patternType="solid">
        <fgColor rgb="00FFFBEB"/>
      </patternFill>
    </fill>
    <fill>
      <patternFill patternType="solid">
        <fgColor rgb="00EFF6FF"/>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59">
    <xf numFmtId="0" fontId="0" fillId="0" borderId="0" pivotButton="0" quotePrefix="0" xfId="0"/>
    <xf numFmtId="0" fontId="14" fillId="0" borderId="0" pivotButton="0" quotePrefix="0" xfId="0"/>
    <xf numFmtId="0" fontId="15" fillId="0" borderId="0" pivotButton="0" quotePrefix="0" xfId="0"/>
    <xf numFmtId="0" fontId="12" fillId="8" borderId="1" applyAlignment="1" pivotButton="0" quotePrefix="0" xfId="0">
      <alignment horizontal="center" vertical="center" wrapText="1"/>
    </xf>
    <xf numFmtId="0" fontId="5"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6" borderId="1" applyAlignment="1" pivotButton="0" quotePrefix="0" xfId="0">
      <alignment horizontal="center" vertical="center" wrapText="1"/>
    </xf>
    <xf numFmtId="0" fontId="10" fillId="7" borderId="1" applyAlignment="1" pivotButton="0" quotePrefix="0" xfId="0">
      <alignment horizontal="center" vertical="center" wrapText="1"/>
    </xf>
    <xf numFmtId="0" fontId="16" fillId="0" borderId="1" applyAlignment="1" pivotButton="0" quotePrefix="0" xfId="0">
      <alignment horizontal="center" vertical="top" wrapText="1"/>
    </xf>
    <xf numFmtId="0" fontId="4" fillId="0" borderId="1" applyAlignment="1" pivotButton="0" quotePrefix="0" xfId="0">
      <alignment horizontal="left" vertical="top" wrapText="1"/>
    </xf>
    <xf numFmtId="0" fontId="2" fillId="0" borderId="1" applyAlignment="1" pivotButton="0" quotePrefix="0" xfId="0">
      <alignment horizontal="center" vertical="top" wrapText="1"/>
    </xf>
    <xf numFmtId="9"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4" fillId="0" borderId="1" applyAlignment="1" pivotButton="0" quotePrefix="0" xfId="0">
      <alignment horizontal="center"/>
    </xf>
    <xf numFmtId="9" fontId="4" fillId="0" borderId="0" applyAlignment="1" pivotButton="0" quotePrefix="0" xfId="0">
      <alignment horizontal="center"/>
    </xf>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center"/>
    </xf>
    <xf numFmtId="0" fontId="0" fillId="0" borderId="0" applyAlignment="1" pivotButton="0" quotePrefix="0" xfId="0">
      <alignment vertical="center"/>
    </xf>
    <xf numFmtId="0" fontId="5" fillId="2" borderId="0" applyAlignment="1" pivotButton="0" quotePrefix="0" xfId="0">
      <alignment vertical="center"/>
    </xf>
    <xf numFmtId="0" fontId="6" fillId="3" borderId="0" applyAlignment="1" pivotButton="0" quotePrefix="0" xfId="0">
      <alignment vertical="center"/>
    </xf>
    <xf numFmtId="0" fontId="7" fillId="4" borderId="0" applyAlignment="1" pivotButton="0" quotePrefix="0" xfId="0">
      <alignment vertical="center"/>
    </xf>
    <xf numFmtId="0" fontId="8" fillId="5" borderId="0" applyAlignment="1" pivotButton="0" quotePrefix="0" xfId="0">
      <alignment vertical="center"/>
    </xf>
    <xf numFmtId="0" fontId="9" fillId="6" borderId="0" applyAlignment="1" pivotButton="0" quotePrefix="0" xfId="0">
      <alignment vertical="center"/>
    </xf>
    <xf numFmtId="0" fontId="10" fillId="7" borderId="0" applyAlignment="1" pivotButton="0" quotePrefix="0" xfId="0">
      <alignment vertical="center"/>
    </xf>
    <xf numFmtId="0" fontId="11" fillId="0" borderId="0" applyAlignment="1" pivotButton="0" quotePrefix="0" xfId="0">
      <alignment vertical="center"/>
    </xf>
    <xf numFmtId="0" fontId="2" fillId="9" borderId="1" applyAlignment="1" pivotButton="0" quotePrefix="0" xfId="0">
      <alignment horizontal="center" vertical="top" wrapText="1"/>
    </xf>
    <xf numFmtId="0" fontId="13" fillId="9" borderId="1" applyAlignment="1" pivotButton="0" quotePrefix="0" xfId="0">
      <alignment horizontal="left" vertical="top" wrapText="1"/>
    </xf>
    <xf numFmtId="0" fontId="4" fillId="9" borderId="1" applyAlignment="1" pivotButton="0" quotePrefix="0" xfId="0">
      <alignment horizontal="left" vertical="top" wrapText="1"/>
    </xf>
    <xf numFmtId="0" fontId="2" fillId="9" borderId="1" applyAlignment="1" pivotButton="0" quotePrefix="0" xfId="0">
      <alignment horizontal="left" vertical="top" wrapText="1"/>
    </xf>
    <xf numFmtId="0" fontId="2" fillId="10" borderId="1" applyAlignment="1" pivotButton="0" quotePrefix="0" xfId="0">
      <alignment horizontal="center" vertical="top" wrapText="1"/>
    </xf>
    <xf numFmtId="0" fontId="2" fillId="10" borderId="1" applyAlignment="1" pivotButton="0" quotePrefix="0" xfId="0">
      <alignment horizontal="left" vertical="top" wrapText="1"/>
    </xf>
    <xf numFmtId="0" fontId="4" fillId="10" borderId="1" applyAlignment="1" pivotButton="0" quotePrefix="0" xfId="0">
      <alignment horizontal="left" vertical="top" wrapText="1"/>
    </xf>
    <xf numFmtId="0" fontId="2" fillId="11" borderId="1" applyAlignment="1" pivotButton="0" quotePrefix="0" xfId="0">
      <alignment horizontal="center" vertical="top" wrapText="1"/>
    </xf>
    <xf numFmtId="0" fontId="2" fillId="11" borderId="1" applyAlignment="1" pivotButton="0" quotePrefix="0" xfId="0">
      <alignment horizontal="left" vertical="top" wrapText="1"/>
    </xf>
    <xf numFmtId="0" fontId="4" fillId="11" borderId="1" applyAlignment="1" pivotButton="0" quotePrefix="0" xfId="0">
      <alignment horizontal="left" vertical="top" wrapText="1"/>
    </xf>
    <xf numFmtId="0" fontId="2" fillId="12" borderId="1" applyAlignment="1" pivotButton="0" quotePrefix="0" xfId="0">
      <alignment horizontal="center" vertical="top" wrapText="1"/>
    </xf>
    <xf numFmtId="0" fontId="2" fillId="12" borderId="1" applyAlignment="1" pivotButton="0" quotePrefix="0" xfId="0">
      <alignment horizontal="left" vertical="top" wrapText="1"/>
    </xf>
    <xf numFmtId="0" fontId="4" fillId="12" borderId="1" applyAlignment="1" pivotButton="0" quotePrefix="0" xfId="0">
      <alignment horizontal="left" vertical="top" wrapText="1"/>
    </xf>
    <xf numFmtId="0" fontId="2" fillId="13" borderId="1" applyAlignment="1" pivotButton="0" quotePrefix="0" xfId="0">
      <alignment horizontal="center" vertical="top" wrapText="1"/>
    </xf>
    <xf numFmtId="0" fontId="2" fillId="13" borderId="1" applyAlignment="1" pivotButton="0" quotePrefix="0" xfId="0">
      <alignment horizontal="left" vertical="top" wrapText="1"/>
    </xf>
    <xf numFmtId="0" fontId="4" fillId="13" borderId="1" applyAlignment="1" pivotButton="0" quotePrefix="0" xfId="0">
      <alignment horizontal="left" vertical="top" wrapText="1"/>
    </xf>
    <xf numFmtId="0" fontId="2" fillId="14" borderId="1" applyAlignment="1" pivotButton="0" quotePrefix="0" xfId="0">
      <alignment horizontal="center" vertical="top" wrapText="1"/>
    </xf>
    <xf numFmtId="0" fontId="2" fillId="14" borderId="1" applyAlignment="1" pivotButton="0" quotePrefix="0" xfId="0">
      <alignment horizontal="left" vertical="top" wrapText="1"/>
    </xf>
    <xf numFmtId="0" fontId="4" fillId="14" borderId="1" applyAlignment="1" pivotButton="0" quotePrefix="0" xfId="0">
      <alignment horizontal="left" vertical="top" wrapText="1"/>
    </xf>
    <xf numFmtId="0" fontId="2" fillId="15" borderId="1" applyAlignment="1" pivotButton="0" quotePrefix="0" xfId="0">
      <alignment horizontal="center" vertical="top" wrapText="1"/>
    </xf>
    <xf numFmtId="0" fontId="2" fillId="15" borderId="1" applyAlignment="1" pivotButton="0" quotePrefix="0" xfId="0">
      <alignment horizontal="left" vertical="top" wrapText="1"/>
    </xf>
    <xf numFmtId="0" fontId="4" fillId="15" borderId="1" applyAlignment="1" pivotButton="0" quotePrefix="0" xfId="0">
      <alignment horizontal="left" vertical="top" wrapText="1"/>
    </xf>
    <xf numFmtId="0" fontId="17" fillId="0" borderId="0" pivotButton="0" quotePrefix="0" xfId="0"/>
    <xf numFmtId="0" fontId="5" fillId="2" borderId="0" pivotButton="0" quotePrefix="0" xfId="0"/>
    <xf numFmtId="0" fontId="6" fillId="3" borderId="0" pivotButton="0" quotePrefix="0" xfId="0"/>
    <xf numFmtId="0" fontId="7" fillId="4" borderId="0" pivotButton="0" quotePrefix="0" xfId="0"/>
    <xf numFmtId="0" fontId="8" fillId="5" borderId="0" pivotButton="0" quotePrefix="0" xfId="0"/>
    <xf numFmtId="0" fontId="9" fillId="6" borderId="0" pivotButton="0" quotePrefix="0" xfId="0"/>
    <xf numFmtId="0" fontId="10" fillId="7" borderId="0" pivotButton="0" quotePrefix="0" xfId="0"/>
  </cellXfs>
  <cellStyles count="1">
    <cellStyle name="Normal" xfId="0" builtinId="0" hidden="0"/>
  </cellStyles>
  <dxfs count="6">
    <dxf>
      <font>
        <name val="Arial"/>
        <b val="1"/>
        <color rgb="00166534"/>
      </font>
      <fill>
        <patternFill patternType="solid">
          <fgColor rgb="00DCFCE7"/>
          <bgColor rgb="00DCFCE7"/>
        </patternFill>
      </fill>
    </dxf>
    <dxf>
      <font>
        <name val="Arial"/>
        <b val="1"/>
        <color rgb="0092400E"/>
      </font>
      <fill>
        <patternFill patternType="solid">
          <fgColor rgb="00FEF3C7"/>
          <bgColor rgb="00FEF3C7"/>
        </patternFill>
      </fill>
    </dxf>
    <dxf>
      <font>
        <name val="Arial"/>
        <b val="1"/>
        <color rgb="00334155"/>
      </font>
      <fill>
        <patternFill patternType="solid">
          <fgColor rgb="00F1F5F9"/>
          <bgColor rgb="00F1F5F9"/>
        </patternFill>
      </fill>
    </dxf>
    <dxf>
      <font>
        <name val="Arial"/>
        <b val="1"/>
        <color rgb="00991B1B"/>
      </font>
      <fill>
        <patternFill patternType="solid">
          <fgColor rgb="00FEE2E2"/>
          <bgColor rgb="00FEE2E2"/>
        </patternFill>
      </fill>
    </dxf>
    <dxf>
      <font>
        <name val="Arial"/>
        <b val="1"/>
        <color rgb="005B21B6"/>
      </font>
      <fill>
        <patternFill patternType="solid">
          <fgColor rgb="00EDE9FE"/>
          <bgColor rgb="00EDE9FE"/>
        </patternFill>
      </fill>
    </dxf>
    <dxf>
      <font>
        <name val="Arial"/>
        <b val="1"/>
        <color rgb="00075985"/>
      </font>
      <fill>
        <patternFill patternType="solid">
          <fgColor rgb="00E0F2FE"/>
          <bgColor rgb="00E0F2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0'!A1" TargetMode="External" Id="rId1" /><Relationship Type="http://schemas.openxmlformats.org/officeDocument/2006/relationships/hyperlink" Target="#'M1'!A1" TargetMode="External" Id="rId2" /><Relationship Type="http://schemas.openxmlformats.org/officeDocument/2006/relationships/hyperlink" Target="#'M2'!A1" TargetMode="External" Id="rId3" /><Relationship Type="http://schemas.openxmlformats.org/officeDocument/2006/relationships/hyperlink" Target="#'M3'!A1" TargetMode="External" Id="rId4" /><Relationship Type="http://schemas.openxmlformats.org/officeDocument/2006/relationships/hyperlink" Target="#'M4'!A1" TargetMode="External" Id="rId5" /><Relationship Type="http://schemas.openxmlformats.org/officeDocument/2006/relationships/hyperlink" Target="#'M5'!A1" TargetMode="External" Id="rId6" /><Relationship Type="http://schemas.openxmlformats.org/officeDocument/2006/relationships/hyperlink" Target="#'M6'!A1" TargetMode="External" Id="rId7" /></Relationships>
</file>

<file path=xl/worksheets/sheet1.xml><?xml version="1.0" encoding="utf-8"?>
<worksheet xmlns="http://schemas.openxmlformats.org/spreadsheetml/2006/main">
  <sheetPr>
    <outlinePr summaryBelow="1" summaryRight="1"/>
    <pageSetUpPr fitToPage="1"/>
  </sheetPr>
  <dimension ref="A1:N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2" customWidth="1" min="3" max="3"/>
    <col width="12" customWidth="1" min="4" max="4"/>
    <col width="9" customWidth="1" min="5" max="5"/>
    <col width="8" customWidth="1" min="6" max="6"/>
    <col width="10" customWidth="1" min="7" max="7"/>
    <col width="10" customWidth="1" min="8" max="8"/>
    <col width="9" customWidth="1" min="9" max="9"/>
    <col width="10" customWidth="1" min="10" max="10"/>
    <col width="13" customWidth="1" min="11" max="11"/>
    <col width="10" customWidth="1" min="12" max="12"/>
    <col width="70" customWidth="1" min="13" max="13"/>
    <col width="60" customWidth="1" min="14" max="14"/>
  </cols>
  <sheetData>
    <row r="1">
      <c r="A1" s="1" t="inlineStr">
        <is>
          <t>Checklist triển khai theo milestone M0 → M6 — Da Nang Connect (Giai đoạn 1)</t>
        </is>
      </c>
    </row>
    <row r="2">
      <c r="A2" s="2" t="inlineStr">
        <is>
          <t>Trạng thái chụp ngày 19/09/2026. Đổi cột "Trạng thái" ở các sheet M0–M6, bảng dưới tự cập nhật. Xem sheet "Chú thích" để biết cách đọc và nguồn số liệu.</t>
        </is>
      </c>
    </row>
    <row r="4" ht="30" customHeight="1">
      <c r="A4" s="3" t="inlineStr">
        <is>
          <t>Phase</t>
        </is>
      </c>
      <c r="B4" s="3" t="inlineStr">
        <is>
          <t>Tên</t>
        </is>
      </c>
      <c r="C4" s="3" t="inlineStr">
        <is>
          <t>Ngày chốt</t>
        </is>
      </c>
      <c r="D4" s="3" t="inlineStr">
        <is>
          <t>Sprint</t>
        </is>
      </c>
      <c r="E4" s="3" t="inlineStr">
        <is>
          <t>Tổng mục</t>
        </is>
      </c>
      <c r="F4" s="4" t="inlineStr">
        <is>
          <t>Xong</t>
        </is>
      </c>
      <c r="G4" s="5" t="inlineStr">
        <is>
          <t>Một phần</t>
        </is>
      </c>
      <c r="H4" s="6" t="inlineStr">
        <is>
          <t>Chưa làm</t>
        </is>
      </c>
      <c r="I4" s="7" t="inlineStr">
        <is>
          <t>Bị chặn</t>
        </is>
      </c>
      <c r="J4" s="8" t="inlineStr">
        <is>
          <t>Cần chốt</t>
        </is>
      </c>
      <c r="K4" s="9" t="inlineStr">
        <is>
          <t>Chưa xác nhận</t>
        </is>
      </c>
      <c r="L4" s="3" t="inlineStr">
        <is>
          <t>Tỷ lệ xong</t>
        </is>
      </c>
      <c r="M4" s="3" t="inlineStr">
        <is>
          <t>Mục tiêu</t>
        </is>
      </c>
      <c r="N4" s="3" t="inlineStr">
        <is>
          <t>Nếu trượt</t>
        </is>
      </c>
    </row>
    <row r="5" ht="49" customHeight="1">
      <c r="A5" s="10" t="inlineStr">
        <is>
          <t>M0</t>
        </is>
      </c>
      <c r="B5" s="11" t="inlineStr">
        <is>
          <t>Setup hạ tầng</t>
        </is>
      </c>
      <c r="C5" s="12" t="inlineStr">
        <is>
          <t>18/09/2026</t>
        </is>
      </c>
      <c r="D5" s="12" t="inlineStr">
        <is>
          <t>S0</t>
        </is>
      </c>
      <c r="E5" s="12">
        <f>COUNTA('M0'!$C$6:$C$400)</f>
        <v/>
      </c>
      <c r="F5" s="12">
        <f>COUNTIF('M0'!$I$6:$I$400,"Xong")</f>
        <v/>
      </c>
      <c r="G5" s="12">
        <f>COUNTIF('M0'!$I$6:$I$400,"Một phần")</f>
        <v/>
      </c>
      <c r="H5" s="12">
        <f>COUNTIF('M0'!$I$6:$I$400,"Chưa làm")</f>
        <v/>
      </c>
      <c r="I5" s="12">
        <f>COUNTIF('M0'!$I$6:$I$400,"Bị chặn")</f>
        <v/>
      </c>
      <c r="J5" s="12">
        <f>COUNTIF('M0'!$I$6:$I$400,"Cần chốt")</f>
        <v/>
      </c>
      <c r="K5" s="12">
        <f>COUNTIF('M0'!$I$6:$I$400,"Chưa xác nhận")</f>
        <v/>
      </c>
      <c r="L5" s="13">
        <f>IFERROR(F5/E5,0)</f>
        <v/>
      </c>
      <c r="M5" s="14" t="inlineStr">
        <is>
          <t>S0 — Nền móng (07/09 – 18/09/2026): Bất kỳ ai trong đội git clone xong chạy được toàn bộ hệ thống trong 5 phút, và mỗi lần merge vào develop là staging tự cập nhật.</t>
        </is>
      </c>
      <c r="N5" s="14" t="inlineStr">
        <is>
          <t>M0 trượt tối đa 3 ngày làm việc. Quá 3 ngày thì rút E1-S8 xuống mức script và đẩy phần còn lại vào S1 — không được để trượt lan sang M1 vì M1 nằm trên đường găng.</t>
        </is>
      </c>
    </row>
    <row r="6" ht="79" customHeight="1">
      <c r="A6" s="10" t="inlineStr">
        <is>
          <t>M1</t>
        </is>
      </c>
      <c r="B6" s="11" t="inlineStr">
        <is>
          <t>API nền + Auth</t>
        </is>
      </c>
      <c r="C6" s="12" t="inlineStr">
        <is>
          <t>02/10/2026</t>
        </is>
      </c>
      <c r="D6" s="12" t="inlineStr">
        <is>
          <t>S1</t>
        </is>
      </c>
      <c r="E6" s="12">
        <f>COUNTA('M1'!$C$6:$C$400)</f>
        <v/>
      </c>
      <c r="F6" s="12">
        <f>COUNTIF('M1'!$I$6:$I$400,"Xong")</f>
        <v/>
      </c>
      <c r="G6" s="12">
        <f>COUNTIF('M1'!$I$6:$I$400,"Một phần")</f>
        <v/>
      </c>
      <c r="H6" s="12">
        <f>COUNTIF('M1'!$I$6:$I$400,"Chưa làm")</f>
        <v/>
      </c>
      <c r="I6" s="12">
        <f>COUNTIF('M1'!$I$6:$I$400,"Bị chặn")</f>
        <v/>
      </c>
      <c r="J6" s="12">
        <f>COUNTIF('M1'!$I$6:$I$400,"Cần chốt")</f>
        <v/>
      </c>
      <c r="K6" s="12">
        <f>COUNTIF('M1'!$I$6:$I$400,"Chưa xác nhận")</f>
        <v/>
      </c>
      <c r="L6" s="13">
        <f>IFERROR(F6/E6,0)</f>
        <v/>
      </c>
      <c r="M6" s="14" t="inlineStr">
        <is>
          <t>S1 — Định danh &amp; Xác thực (21/09 – 02/10/2026): Một người thật tạo được tài khoản, đăng nhập trên cả web lẫn điện thoại, và phiên đăng nhập giữ được qua nhiều ngày mà không tự đăng xuất.</t>
        </is>
      </c>
      <c r="N6" s="14" t="inlineStr">
        <is>
          <t>M1 không được trượt. Đây là mắt xích đường găng cứng nhất phía kỹ thuật — toàn bộ E3, E4, E6 đều chờ nó. Trượt M1 thì trượt hết. Phương án khẩn: cắt E2-S5 (Facebook) và E2-S6 (đặt lại mật khẩu) sang S2, dồn 2 người vào E2-S2 và E2-S9.</t>
        </is>
      </c>
    </row>
    <row r="7" ht="94" customHeight="1">
      <c r="A7" s="10" t="inlineStr">
        <is>
          <t>M2</t>
        </is>
      </c>
      <c r="B7" s="11" t="inlineStr">
        <is>
          <t>Tạo &amp; khám phá sự kiện</t>
        </is>
      </c>
      <c r="C7" s="12" t="inlineStr">
        <is>
          <t>30/10/2026</t>
        </is>
      </c>
      <c r="D7" s="12" t="inlineStr">
        <is>
          <t>S2, S3</t>
        </is>
      </c>
      <c r="E7" s="12">
        <f>COUNTA('M2'!$C$6:$C$400)</f>
        <v/>
      </c>
      <c r="F7" s="12">
        <f>COUNTIF('M2'!$I$6:$I$400,"Xong")</f>
        <v/>
      </c>
      <c r="G7" s="12">
        <f>COUNTIF('M2'!$I$6:$I$400,"Một phần")</f>
        <v/>
      </c>
      <c r="H7" s="12">
        <f>COUNTIF('M2'!$I$6:$I$400,"Chưa làm")</f>
        <v/>
      </c>
      <c r="I7" s="12">
        <f>COUNTIF('M2'!$I$6:$I$400,"Bị chặn")</f>
        <v/>
      </c>
      <c r="J7" s="12">
        <f>COUNTIF('M2'!$I$6:$I$400,"Cần chốt")</f>
        <v/>
      </c>
      <c r="K7" s="12">
        <f>COUNTIF('M2'!$I$6:$I$400,"Chưa xác nhận")</f>
        <v/>
      </c>
      <c r="L7" s="13">
        <f>IFERROR(F7/E7,0)</f>
        <v/>
      </c>
      <c r="M7" s="14" t="inlineStr">
        <is>
          <t>S2 — Sự kiện lõi (05/10 – 16/10/2026): Một organizer thật đăng được một hoạt động thật lên staging, có ảnh bìa, có toạ độ đúng khu vực, và sự kiện đó sinh ra đúng một event_occurrences. S3 — Khám phá hyperlocal &amp; Bản đồ (19/10 – 30/10/2026): Một expat mở web, chọn "An Thượng · cuối tuần này · thể thao" và thấy đúng những gì đang có; link sự kiện dán lên Facebook hiện ảnh và mô tả đẹp.</t>
        </is>
      </c>
      <c r="N7" s="14" t="inlineStr">
        <is>
          <t>M2 đã có sẵn cơ chế ba nấc (§6.7). Nếu nấc 1 (web) trượt quá 1 tuần thì đây là điều kiện dừng cấp 1 — dừng nhận story mới, họp lại phạm vi trong 48 giờ, cân nhắc đòn bẩy 1 (thuê Mobile hợp đồng) hoặc rơi sang §10.</t>
        </is>
      </c>
    </row>
    <row r="8" ht="64" customHeight="1">
      <c r="A8" s="10" t="inlineStr">
        <is>
          <t>M3</t>
        </is>
      </c>
      <c r="B8" s="11" t="inlineStr">
        <is>
          <t>RSVP + Waitlist + Thông báo</t>
        </is>
      </c>
      <c r="C8" s="12" t="inlineStr">
        <is>
          <t>13/11/2026</t>
        </is>
      </c>
      <c r="D8" s="12" t="inlineStr">
        <is>
          <t>S4</t>
        </is>
      </c>
      <c r="E8" s="12">
        <f>COUNTA('M3'!$C$6:$C$400)</f>
        <v/>
      </c>
      <c r="F8" s="12">
        <f>COUNTIF('M3'!$I$6:$I$400,"Xong")</f>
        <v/>
      </c>
      <c r="G8" s="12">
        <f>COUNTIF('M3'!$I$6:$I$400,"Một phần")</f>
        <v/>
      </c>
      <c r="H8" s="12">
        <f>COUNTIF('M3'!$I$6:$I$400,"Chưa làm")</f>
        <v/>
      </c>
      <c r="I8" s="12">
        <f>COUNTIF('M3'!$I$6:$I$400,"Bị chặn")</f>
        <v/>
      </c>
      <c r="J8" s="12">
        <f>COUNTIF('M3'!$I$6:$I$400,"Cần chốt")</f>
        <v/>
      </c>
      <c r="K8" s="12">
        <f>COUNTIF('M3'!$I$6:$I$400,"Chưa xác nhận")</f>
        <v/>
      </c>
      <c r="L8" s="13">
        <f>IFERROR(F8/E8,0)</f>
        <v/>
      </c>
      <c r="M8" s="14" t="inlineStr">
        <is>
          <t>S4 — RSVP, Waitlist &amp; Thông báo (02/11 – 13/11/2026): Hai trăm người bấm đăng ký cùng lúc vào một buổi có 50 chỗ thì đúng 50 người vào going, phần còn lại vào waitlisted theo thứ tự, và ai cũng nhận được thông báo đúng.</t>
        </is>
      </c>
      <c r="N8" s="14" t="inlineStr">
        <is>
          <t>M3-3 (waitlist) là MUST của MVP, không được hoãn. Nếu tuần W09 kết thúc mà E6-S3 chưa xong, cắt ngay E5-S7 khỏi S4 và dồn toàn bộ nhánh backend vào RSVP. Nấc M2+ lùi sang S5.</t>
        </is>
      </c>
    </row>
    <row r="9" ht="79" customHeight="1">
      <c r="A9" s="10" t="inlineStr">
        <is>
          <t>M4</t>
        </is>
      </c>
      <c r="B9" s="11" t="inlineStr">
        <is>
          <t>Trust &amp; Safety tối thiểu</t>
        </is>
      </c>
      <c r="C9" s="12" t="inlineStr">
        <is>
          <t>27/11/2026</t>
        </is>
      </c>
      <c r="D9" s="12" t="inlineStr">
        <is>
          <t>S5</t>
        </is>
      </c>
      <c r="E9" s="12">
        <f>COUNTA('M4'!$C$6:$C$400)</f>
        <v/>
      </c>
      <c r="F9" s="12">
        <f>COUNTIF('M4'!$I$6:$I$400,"Xong")</f>
        <v/>
      </c>
      <c r="G9" s="12">
        <f>COUNTIF('M4'!$I$6:$I$400,"Một phần")</f>
        <v/>
      </c>
      <c r="H9" s="12">
        <f>COUNTIF('M4'!$I$6:$I$400,"Chưa làm")</f>
        <v/>
      </c>
      <c r="I9" s="12">
        <f>COUNTIF('M4'!$I$6:$I$400,"Bị chặn")</f>
        <v/>
      </c>
      <c r="J9" s="12">
        <f>COUNTIF('M4'!$I$6:$I$400,"Cần chốt")</f>
        <v/>
      </c>
      <c r="K9" s="12">
        <f>COUNTIF('M4'!$I$6:$I$400,"Chưa xác nhận")</f>
        <v/>
      </c>
      <c r="L9" s="13">
        <f>IFERROR(F9/E9,0)</f>
        <v/>
      </c>
      <c r="M9" s="14" t="inlineStr">
        <is>
          <t>S5 — Trust &amp; Safety (16/11 – 27/11/2026): Một người dùng gặp nội dung xấu có đường báo cáo rõ ràng; moderator xử lý được trong SLA; và mọi hồ sơ đều hiển thị đúng bậc T0–T5.</t>
        </is>
      </c>
      <c r="N9" s="14" t="inlineStr">
        <is>
          <t>M4-8 và M4-9 là điều kiện chặn cứng để mở beta — không có chính sách đã thẩm định thì không được thu thập dữ liệu của 100 người thật. Nếu luật sư chưa xác nhận kịp, lùi ngày mời beta wave 1 chứ không mở beta bằng bản thảo chưa thẩm định.</t>
        </is>
      </c>
    </row>
    <row r="10" ht="94" customHeight="1">
      <c r="A10" s="10" t="inlineStr">
        <is>
          <t>M5</t>
        </is>
      </c>
      <c r="B10" s="11" t="inlineStr">
        <is>
          <t>Beta kín 100 user</t>
        </is>
      </c>
      <c r="C10" s="12" t="inlineStr">
        <is>
          <t>25/12/2026</t>
        </is>
      </c>
      <c r="D10" s="12" t="inlineStr">
        <is>
          <t>S6, S7</t>
        </is>
      </c>
      <c r="E10" s="12">
        <f>COUNTA('M5'!$C$6:$C$400)</f>
        <v/>
      </c>
      <c r="F10" s="12">
        <f>COUNTIF('M5'!$I$6:$I$400,"Xong")</f>
        <v/>
      </c>
      <c r="G10" s="12">
        <f>COUNTIF('M5'!$I$6:$I$400,"Một phần")</f>
        <v/>
      </c>
      <c r="H10" s="12">
        <f>COUNTIF('M5'!$I$6:$I$400,"Chưa làm")</f>
        <v/>
      </c>
      <c r="I10" s="12">
        <f>COUNTIF('M5'!$I$6:$I$400,"Bị chặn")</f>
        <v/>
      </c>
      <c r="J10" s="12">
        <f>COUNTIF('M5'!$I$6:$I$400,"Cần chốt")</f>
        <v/>
      </c>
      <c r="K10" s="12">
        <f>COUNTIF('M5'!$I$6:$I$400,"Chưa xác nhận")</f>
        <v/>
      </c>
      <c r="L10" s="13">
        <f>IFERROR(F10/E10,0)</f>
        <v/>
      </c>
      <c r="M10" s="14" t="inlineStr">
        <is>
          <t>S6 — Sẵn sàng beta &amp; Curation Console (30/11 – 11/12/2026): Community Manager nhập được sự kiện thật vào hệ thống trong dưới 3 phút, organizer gốc nhận được lời mời tự quản lý listing, và bản build đã nộp lên TestFlight + Play closed testing. S7 — Vận hành beta kín 100 user (14/12 – 25/12/2026): Một trăm expat thật dùng sản phẩm trong đời thật, và đội nhìn thấy họ dùng như thế nào.</t>
        </is>
      </c>
      <c r="N10" s="14" t="inlineStr">
        <is>
          <t>M5 có 2 tuần đệm tự nhiên (đóng băng cuối năm + S8). Nếu M5-7 trượt vì Play closed testing bắt đầu muộn thì đây là rủi ro chặn M6 — xem §8.3.</t>
        </is>
      </c>
    </row>
    <row r="11" ht="109" customHeight="1">
      <c r="A11" s="10" t="inlineStr">
        <is>
          <t>M6</t>
        </is>
      </c>
      <c r="B11" s="11" t="inlineStr">
        <is>
          <t>Ra mắt công khai</t>
        </is>
      </c>
      <c r="C11" s="12" t="inlineStr">
        <is>
          <t>25/02/2027</t>
        </is>
      </c>
      <c r="D11" s="12" t="inlineStr">
        <is>
          <t>S8, S9, S10</t>
        </is>
      </c>
      <c r="E11" s="12">
        <f>COUNTA('M6'!$C$6:$C$400)</f>
        <v/>
      </c>
      <c r="F11" s="12">
        <f>COUNTIF('M6'!$I$6:$I$400,"Xong")</f>
        <v/>
      </c>
      <c r="G11" s="12">
        <f>COUNTIF('M6'!$I$6:$I$400,"Một phần")</f>
        <v/>
      </c>
      <c r="H11" s="12">
        <f>COUNTIF('M6'!$I$6:$I$400,"Chưa làm")</f>
        <v/>
      </c>
      <c r="I11" s="12">
        <f>COUNTIF('M6'!$I$6:$I$400,"Bị chặn")</f>
        <v/>
      </c>
      <c r="J11" s="12">
        <f>COUNTIF('M6'!$I$6:$I$400,"Cần chốt")</f>
        <v/>
      </c>
      <c r="K11" s="12">
        <f>COUNTIF('M6'!$I$6:$I$400,"Chưa xác nhận")</f>
        <v/>
      </c>
      <c r="L11" s="13">
        <f>IFERROR(F11/E11,0)</f>
        <v/>
      </c>
      <c r="M11" s="14" t="inlineStr">
        <is>
          <t>S8 — Sửa lỗi beta &amp; Hoàn thiện (04/01 – 15/01/2027): Đóng toàn bộ P0/P1 của beta, và bịt hai chỗ rớt phễu lớn nhất tìm được ở S7. S9 — Chuẩn bị ra mắt (18/01 – 29/01/2027): Có một release candidate đóng gói xong, tài sản cửa hàng xong, và runbook sự cố đã được diễn tập thật. S10 — Ra mắt công khai (15/02 – 26/02/2027): App có mặt trên cả hai kho ứng dụng, web production sống, và cộng đồng Đà Nẵng biết chuyện đó.</t>
        </is>
      </c>
      <c r="N11" s="14" t="inlineStr">
        <is>
          <t>không ra mắt công khai đúng hạn. Lùi ra mắt 2–4 tuần và dồn toàn bộ nguồn lực vào curate + chuyển giao organizer. Ra mắt với một ứng dụng trông đầy nhưng không có dòng chảy là kịch bản hỏng tệ nhất: người dùng mở lần đầu, không thấy gì đáng đi, và không quay lại — không có lần ra mắt thứ hai với cùng một người.</t>
        </is>
      </c>
    </row>
    <row r="12">
      <c r="A12" s="15" t="inlineStr">
        <is>
          <t>Tổng</t>
        </is>
      </c>
      <c r="E12" s="16">
        <f>SUM(E5:E11)</f>
        <v/>
      </c>
      <c r="F12" s="16">
        <f>SUM(F5:F11)</f>
        <v/>
      </c>
      <c r="G12" s="16">
        <f>SUM(G5:G11)</f>
        <v/>
      </c>
      <c r="H12" s="16">
        <f>SUM(H5:H11)</f>
        <v/>
      </c>
      <c r="I12" s="16">
        <f>SUM(I5:I11)</f>
        <v/>
      </c>
      <c r="J12" s="16">
        <f>SUM(J5:J11)</f>
        <v/>
      </c>
      <c r="K12" s="16">
        <f>SUM(K5:K11)</f>
        <v/>
      </c>
      <c r="L12" s="17">
        <f>IFERROR(F12/E12,0)</f>
        <v/>
      </c>
    </row>
  </sheetData>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s>
  <pageMargins left="0.75" right="0.75" top="1" bottom="1" header="0.5" footer="0.5"/>
  <pageSetup orientation="landscape" fitToWidth="1"/>
</worksheet>
</file>

<file path=xl/worksheets/sheet2.xml><?xml version="1.0" encoding="utf-8"?>
<worksheet xmlns="http://schemas.openxmlformats.org/spreadsheetml/2006/main">
  <sheetPr>
    <tabColor rgb="000369A1"/>
    <outlinePr summaryBelow="1" summaryRight="1"/>
    <pageSetUpPr fitToPage="1"/>
  </sheetPr>
  <dimension ref="A1:M38"/>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8" t="inlineStr">
        <is>
          <t>M0 · Setup hạ tầng — chốt 18/09/2026 · Sprint S0</t>
        </is>
      </c>
    </row>
    <row r="2" ht="18" customHeight="1">
      <c r="A2" s="19" t="inlineStr">
        <is>
          <t>Mục tiêu: S0 — Nền móng (07/09 – 18/09/2026): Bất kỳ ai trong đội git clone xong chạy được toàn bộ hệ thống trong 5 phút, và mỗi lần merge vào develop là staging tự cập nhật.</t>
        </is>
      </c>
    </row>
    <row r="3" ht="18" customHeight="1">
      <c r="A3" s="20" t="inlineStr">
        <is>
          <t>Nếu trượt: M0 trượt tối đa 3 ngày làm việc. Quá 3 ngày thì rút E1-S8 xuống mức script và đẩy phần còn lại vào S1 — không được để trượt lan sang M1 vì M1 nằm trên đường găng.</t>
        </is>
      </c>
    </row>
    <row r="4" ht="20" customHeight="1">
      <c r="A4" s="21" t="inlineStr">
        <is>
          <t>Tiến độ</t>
        </is>
      </c>
      <c r="B4" s="22" t="n"/>
      <c r="C4" s="22">
        <f>COUNTA($C$6:$C$400)&amp;" mục"</f>
        <v/>
      </c>
      <c r="D4" s="23">
        <f>"Xong: "&amp;COUNTIF($I$6:$I$400,"Xong")</f>
        <v/>
      </c>
      <c r="E4" s="24">
        <f>"Một phần: "&amp;COUNTIF($I$6:$I$400,"Một phần")</f>
        <v/>
      </c>
      <c r="F4" s="25">
        <f>"Chưa làm: "&amp;COUNTIF($I$6:$I$400,"Chưa làm")</f>
        <v/>
      </c>
      <c r="G4" s="26">
        <f>"Bị chặn: "&amp;COUNTIF($I$6:$I$400,"Bị chặn")</f>
        <v/>
      </c>
      <c r="H4" s="27">
        <f>"Cần chốt: "&amp;COUNTIF($I$6:$I$400,"Cần chốt")</f>
        <v/>
      </c>
      <c r="I4" s="28">
        <f>"Chưa xác nhận: "&amp;COUNTIF($I$6:$I$400,"Chưa xác nhận")</f>
        <v/>
      </c>
      <c r="J4" s="29">
        <f>"Tỷ lệ xong: "&amp;TEXT(IFERROR(COUNTIF($I$6:$I$400,"Xong")/COUNTA($C$6:$C$400),0),"0%")</f>
        <v/>
      </c>
      <c r="K4" s="22" t="n"/>
      <c r="L4" s="22" t="n"/>
      <c r="M4" s="22"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49" customHeight="1">
      <c r="A6" s="30" t="n">
        <v>1</v>
      </c>
      <c r="B6" s="31" t="inlineStr">
        <is>
          <t>Việc chặn &amp; cần chốt</t>
        </is>
      </c>
      <c r="C6" s="32" t="inlineStr">
        <is>
          <t>CH-06</t>
        </is>
      </c>
      <c r="D6" s="33" t="inlineStr">
        <is>
          <t>Chốt quy mô đội: đủ đội 5,5 FTE hay tinh gọn 2 dev + Founder. Git log hiện chỉ có 1 người commit; velocity 53 SP/sprint của S1 dựa trên đội đủ.</t>
        </is>
      </c>
      <c r="E6" s="30" t="inlineStr"/>
      <c r="F6" s="33" t="inlineStr">
        <is>
          <t>Founder</t>
        </is>
      </c>
      <c r="G6" s="30" t="inlineStr"/>
      <c r="H6" s="30" t="inlineStr"/>
      <c r="I6" s="30" t="inlineStr">
        <is>
          <t>Cần chốt</t>
        </is>
      </c>
      <c r="J6" s="33" t="inlineStr">
        <is>
          <t>Hạn 03/09, đã quá hạn.</t>
        </is>
      </c>
      <c r="K6" s="33" t="inlineStr">
        <is>
          <t>Doc 00 §9 · Kiểm tra code 18/09/2026</t>
        </is>
      </c>
      <c r="L6" s="33" t="n"/>
      <c r="M6" s="33" t="n"/>
    </row>
    <row r="7" ht="34" customHeight="1">
      <c r="A7" s="30" t="n">
        <v>2</v>
      </c>
      <c r="B7" s="31" t="inlineStr">
        <is>
          <t>Việc chặn &amp; cần chốt</t>
        </is>
      </c>
      <c r="C7" s="32" t="inlineStr">
        <is>
          <t>T-TL-01</t>
        </is>
      </c>
      <c r="D7" s="33" t="inlineStr">
        <is>
          <t>Tạo ops/legal/ + ops/legal/drafts/ cho bản nháp ToS / Privacy.</t>
        </is>
      </c>
      <c r="E7" s="30" t="inlineStr"/>
      <c r="F7" s="33" t="inlineStr">
        <is>
          <t>Tech Lead</t>
        </is>
      </c>
      <c r="G7" s="30" t="inlineStr"/>
      <c r="H7" s="30" t="inlineStr"/>
      <c r="I7" s="30" t="inlineStr">
        <is>
          <t>Chưa làm</t>
        </is>
      </c>
      <c r="J7" s="33" t="inlineStr"/>
      <c r="K7" s="33" t="inlineStr">
        <is>
          <t>Doc 00 §10</t>
        </is>
      </c>
      <c r="L7" s="33" t="n"/>
      <c r="M7" s="33" t="n"/>
    </row>
    <row r="8" ht="34" customHeight="1">
      <c r="A8" s="30" t="n">
        <v>3</v>
      </c>
      <c r="B8" s="31" t="inlineStr">
        <is>
          <t>Việc chặn &amp; cần chốt</t>
        </is>
      </c>
      <c r="C8" s="32" t="inlineStr">
        <is>
          <t>T-TL-02</t>
        </is>
      </c>
      <c r="D8" s="33" t="inlineStr">
        <is>
          <t>Secret scanning (gitleaks) + tách biến môi trường trong CI, trước khi nạp khoá JWT, OAuth, Apple .p8.</t>
        </is>
      </c>
      <c r="E8" s="30" t="inlineStr"/>
      <c r="F8" s="33" t="inlineStr">
        <is>
          <t>Tech Lead</t>
        </is>
      </c>
      <c r="G8" s="30" t="inlineStr"/>
      <c r="H8" s="30" t="inlineStr"/>
      <c r="I8" s="30" t="inlineStr">
        <is>
          <t>Chưa làm</t>
        </is>
      </c>
      <c r="J8" s="33" t="inlineStr">
        <is>
          <t>Rủi ro tăng ngay trong Sprint 1.</t>
        </is>
      </c>
      <c r="K8" s="33" t="inlineStr">
        <is>
          <t>Doc 00 §10 · Kiểm tra code 18/09/2026</t>
        </is>
      </c>
      <c r="L8" s="33" t="n"/>
      <c r="M8" s="33" t="n"/>
    </row>
    <row r="9" ht="34" customHeight="1">
      <c r="A9" s="34" t="n">
        <v>4</v>
      </c>
      <c r="B9" s="35" t="inlineStr">
        <is>
          <t>Story</t>
        </is>
      </c>
      <c r="C9" s="36" t="inlineStr">
        <is>
          <t>E1-S1</t>
        </is>
      </c>
      <c r="D9" s="35" t="inlineStr">
        <is>
          <t>Monorepo + chuẩn code thống nhất</t>
        </is>
      </c>
      <c r="E9" s="34" t="inlineStr">
        <is>
          <t>S0</t>
        </is>
      </c>
      <c r="F9" s="35" t="inlineStr">
        <is>
          <t>Tech Lead</t>
        </is>
      </c>
      <c r="G9" s="34" t="n">
        <v>5</v>
      </c>
      <c r="H9" s="34" t="inlineStr">
        <is>
          <t>MUST</t>
        </is>
      </c>
      <c r="I9" s="34" t="inlineStr">
        <is>
          <t>Xong</t>
        </is>
      </c>
      <c r="J9" s="35" t="inlineStr">
        <is>
          <t>Monorepo pnpm + Turborepo + oxlint chạy được.</t>
        </is>
      </c>
      <c r="K9" s="35" t="inlineStr">
        <is>
          <t>Kiểm tra code 18/09/2026</t>
        </is>
      </c>
      <c r="L9" s="35" t="n"/>
      <c r="M9" s="35" t="n"/>
    </row>
    <row r="10" ht="49" customHeight="1">
      <c r="A10" s="34" t="n">
        <v>5</v>
      </c>
      <c r="B10" s="35" t="inlineStr">
        <is>
          <t>Story</t>
        </is>
      </c>
      <c r="C10" s="36" t="inlineStr">
        <is>
          <t>E1-S2</t>
        </is>
      </c>
      <c r="D10" s="35" t="inlineStr">
        <is>
          <t>docker compose up = Postgres 16 + PostGIS 3.4 + Redis</t>
        </is>
      </c>
      <c r="E10" s="34" t="inlineStr">
        <is>
          <t>S0</t>
        </is>
      </c>
      <c r="F10" s="35" t="inlineStr">
        <is>
          <t>Tech Lead</t>
        </is>
      </c>
      <c r="G10" s="34" t="n">
        <v>5</v>
      </c>
      <c r="H10" s="34" t="inlineStr">
        <is>
          <t>MUST</t>
        </is>
      </c>
      <c r="I10" s="34" t="inlineStr">
        <is>
          <t>Xong</t>
        </is>
      </c>
      <c r="J10" s="35" t="inlineStr">
        <is>
          <t>PostgreSQL 18 + PostGIS 3.6 + Redis 7.4 (nâng phiên bản đã quyết, khác số ghi trong doc 08).</t>
        </is>
      </c>
      <c r="K10" s="35" t="inlineStr">
        <is>
          <t>Kiểm tra code 18/09/2026</t>
        </is>
      </c>
      <c r="L10" s="35" t="n"/>
      <c r="M10" s="35" t="n"/>
    </row>
    <row r="11" ht="34" customHeight="1">
      <c r="A11" s="34" t="n">
        <v>6</v>
      </c>
      <c r="B11" s="35" t="inlineStr">
        <is>
          <t>Story</t>
        </is>
      </c>
      <c r="C11" s="36" t="inlineStr">
        <is>
          <t>E1-S3</t>
        </is>
      </c>
      <c r="D11" s="35" t="inlineStr">
        <is>
          <t>Khung NestJS 11 + config theo môi trường + GET /health</t>
        </is>
      </c>
      <c r="E11" s="34" t="inlineStr">
        <is>
          <t>S0</t>
        </is>
      </c>
      <c r="F11" s="35" t="inlineStr">
        <is>
          <t>Backend</t>
        </is>
      </c>
      <c r="G11" s="34" t="n">
        <v>5</v>
      </c>
      <c r="H11" s="34" t="inlineStr">
        <is>
          <t>MUST</t>
        </is>
      </c>
      <c r="I11" s="34" t="inlineStr">
        <is>
          <t>Một phần</t>
        </is>
      </c>
      <c r="J11" s="35" t="inlineStr">
        <is>
          <t>Có /health; thiếu readiness kiểm tra DB và Redis.</t>
        </is>
      </c>
      <c r="K11" s="35" t="inlineStr">
        <is>
          <t>Kiểm tra code 18/09/2026</t>
        </is>
      </c>
      <c r="L11" s="35" t="n"/>
      <c r="M11" s="35" t="n"/>
    </row>
    <row r="12" ht="64" customHeight="1">
      <c r="A12" s="34" t="n">
        <v>7</v>
      </c>
      <c r="B12" s="35" t="inlineStr">
        <is>
          <t>Story</t>
        </is>
      </c>
      <c r="C12" s="36" t="inlineStr">
        <is>
          <t>E1-S4</t>
        </is>
      </c>
      <c r="D12" s="35" t="inlineStr">
        <is>
          <t>TypeORM migration + seed data</t>
        </is>
      </c>
      <c r="E12" s="34" t="inlineStr">
        <is>
          <t>S0</t>
        </is>
      </c>
      <c r="F12" s="35" t="inlineStr">
        <is>
          <t>Backend</t>
        </is>
      </c>
      <c r="G12" s="34" t="n">
        <v>5</v>
      </c>
      <c r="H12" s="34" t="inlineStr">
        <is>
          <t>MUST</t>
        </is>
      </c>
      <c r="I12" s="34" t="inlineStr">
        <is>
          <t>Cần chốt</t>
        </is>
      </c>
      <c r="J12" s="35" t="inlineStr">
        <is>
          <t>Không dùng TypeORM: schema là file SQL nạp qua initdb, không tự áp cho DB đang chạy. Chốt cơ chế migration (T-04) trước bảng mới đầu tiên.</t>
        </is>
      </c>
      <c r="K12" s="35" t="inlineStr">
        <is>
          <t>Kiểm tra code 18/09/2026</t>
        </is>
      </c>
      <c r="L12" s="35" t="n"/>
      <c r="M12" s="35" t="n"/>
    </row>
    <row r="13" ht="34" customHeight="1">
      <c r="A13" s="34" t="n">
        <v>8</v>
      </c>
      <c r="B13" s="35" t="inlineStr">
        <is>
          <t>Story</t>
        </is>
      </c>
      <c r="C13" s="36" t="inlineStr">
        <is>
          <t>E1-S5</t>
        </is>
      </c>
      <c r="D13" s="35" t="inlineStr">
        <is>
          <t>Khung Next.js 15 App Router + Tailwind + design token</t>
        </is>
      </c>
      <c r="E13" s="34" t="inlineStr">
        <is>
          <t>S0</t>
        </is>
      </c>
      <c r="F13" s="35" t="inlineStr">
        <is>
          <t>Web</t>
        </is>
      </c>
      <c r="G13" s="34" t="n">
        <v>5</v>
      </c>
      <c r="H13" s="34" t="inlineStr">
        <is>
          <t>MUST</t>
        </is>
      </c>
      <c r="I13" s="34" t="inlineStr">
        <is>
          <t>Xong</t>
        </is>
      </c>
      <c r="J13" s="35" t="inlineStr">
        <is>
          <t>Next.js 16 App Router + Tailwind 4 + token từ @dnc/tokens.</t>
        </is>
      </c>
      <c r="K13" s="35" t="inlineStr">
        <is>
          <t>Kiểm tra code 18/09/2026</t>
        </is>
      </c>
      <c r="L13" s="35" t="n"/>
      <c r="M13" s="35" t="n"/>
    </row>
    <row r="14" ht="49" customHeight="1">
      <c r="A14" s="34" t="n">
        <v>9</v>
      </c>
      <c r="B14" s="35" t="inlineStr">
        <is>
          <t>Story</t>
        </is>
      </c>
      <c r="C14" s="36" t="inlineStr">
        <is>
          <t>E1-S6</t>
        </is>
      </c>
      <c r="D14" s="35" t="inlineStr">
        <is>
          <t>Khung Expo 54 + RN 0.81 + điều hướng + dev build máy thật</t>
        </is>
      </c>
      <c r="E14" s="34" t="inlineStr">
        <is>
          <t>S0</t>
        </is>
      </c>
      <c r="F14" s="35" t="inlineStr">
        <is>
          <t>Mobile</t>
        </is>
      </c>
      <c r="G14" s="34" t="n">
        <v>8</v>
      </c>
      <c r="H14" s="34" t="inlineStr">
        <is>
          <t>MUST</t>
        </is>
      </c>
      <c r="I14" s="34" t="inlineStr">
        <is>
          <t>Chưa làm</t>
        </is>
      </c>
      <c r="J14" s="35" t="inlineStr">
        <is>
          <t>apps/mobile-client-side chỉ có README. Chặn cứng 18 SP mobile của Sprint 1 (E2-S3, E2-S4, E2-S9).</t>
        </is>
      </c>
      <c r="K14" s="35" t="inlineStr">
        <is>
          <t>Kiểm tra code 18/09/2026</t>
        </is>
      </c>
      <c r="L14" s="35" t="n"/>
      <c r="M14" s="35" t="n"/>
    </row>
    <row r="15" ht="49" customHeight="1">
      <c r="A15" s="34" t="n">
        <v>10</v>
      </c>
      <c r="B15" s="35" t="inlineStr">
        <is>
          <t>Story</t>
        </is>
      </c>
      <c r="C15" s="36" t="inlineStr">
        <is>
          <t>E1-S7</t>
        </is>
      </c>
      <c r="D15" s="35" t="inlineStr">
        <is>
          <t>CI GitHub Actions: lint + test + build mỗi PR</t>
        </is>
      </c>
      <c r="E15" s="34" t="inlineStr">
        <is>
          <t>S0</t>
        </is>
      </c>
      <c r="F15" s="35" t="inlineStr">
        <is>
          <t>Tech Lead</t>
        </is>
      </c>
      <c r="G15" s="34" t="n">
        <v>5</v>
      </c>
      <c r="H15" s="34" t="inlineStr">
        <is>
          <t>MUST</t>
        </is>
      </c>
      <c r="I15" s="34" t="inlineStr">
        <is>
          <t>Một phần</t>
        </is>
      </c>
      <c r="J15" s="35" t="inlineStr">
        <is>
          <t>CI có lint + typecheck + test + smoke RSVP; thiếu bước build; branch protection chưa xác nhận.</t>
        </is>
      </c>
      <c r="K15" s="35" t="inlineStr">
        <is>
          <t>Kiểm tra code 18/09/2026</t>
        </is>
      </c>
      <c r="L15" s="35" t="n"/>
      <c r="M15" s="35" t="n"/>
    </row>
    <row r="16" ht="34" customHeight="1">
      <c r="A16" s="34" t="n">
        <v>11</v>
      </c>
      <c r="B16" s="35" t="inlineStr">
        <is>
          <t>Story</t>
        </is>
      </c>
      <c r="C16" s="36" t="inlineStr">
        <is>
          <t>E1-S8</t>
        </is>
      </c>
      <c r="D16" s="35" t="inlineStr">
        <is>
          <t>Merge develop → tự động deploy staging</t>
        </is>
      </c>
      <c r="E16" s="34" t="inlineStr">
        <is>
          <t>S0</t>
        </is>
      </c>
      <c r="F16" s="35" t="inlineStr">
        <is>
          <t>Tech Lead</t>
        </is>
      </c>
      <c r="G16" s="34" t="n">
        <v>8</v>
      </c>
      <c r="H16" s="34" t="inlineStr">
        <is>
          <t>MUST</t>
        </is>
      </c>
      <c r="I16" s="34" t="inlineStr">
        <is>
          <t>Chưa làm</t>
        </is>
      </c>
      <c r="J16" s="35" t="inlineStr">
        <is>
          <t>Chưa có auto-deploy staging, cũng chưa có script deploy.sh dự phòng.</t>
        </is>
      </c>
      <c r="K16" s="35" t="inlineStr">
        <is>
          <t>Kiểm tra code 18/09/2026</t>
        </is>
      </c>
      <c r="L16" s="35" t="n"/>
      <c r="M16" s="35" t="n"/>
    </row>
    <row r="17" ht="34" customHeight="1">
      <c r="A17" s="34" t="n">
        <v>12</v>
      </c>
      <c r="B17" s="35" t="inlineStr">
        <is>
          <t>Story</t>
        </is>
      </c>
      <c r="C17" s="36" t="inlineStr">
        <is>
          <t>E10-S1</t>
        </is>
      </c>
      <c r="D17" s="35" t="inlineStr">
        <is>
          <t>Khoá i18n theo namespace, dùng chung web + mobile</t>
        </is>
      </c>
      <c r="E17" s="34" t="inlineStr">
        <is>
          <t>S0</t>
        </is>
      </c>
      <c r="F17" s="35" t="inlineStr">
        <is>
          <t>Web</t>
        </is>
      </c>
      <c r="G17" s="34" t="n">
        <v>3</v>
      </c>
      <c r="H17" s="34" t="inlineStr">
        <is>
          <t>MUST</t>
        </is>
      </c>
      <c r="I17" s="34" t="inlineStr">
        <is>
          <t>Xong</t>
        </is>
      </c>
      <c r="J17" s="35" t="inlineStr">
        <is>
          <t>packages/i18n en/vi + sinh kiểu khoá; 2 file phẳng thay vì 14 namespace (vẫn đạt DoD).</t>
        </is>
      </c>
      <c r="K17" s="35" t="inlineStr">
        <is>
          <t>Kiểm tra code 18/09/2026</t>
        </is>
      </c>
      <c r="L17" s="35" t="n"/>
      <c r="M17" s="35" t="n"/>
    </row>
    <row r="18" ht="34" customHeight="1">
      <c r="A18" s="37" t="n">
        <v>13</v>
      </c>
      <c r="B18" s="38" t="inlineStr">
        <is>
          <t>DoD bổ sung</t>
        </is>
      </c>
      <c r="C18" s="39" t="inlineStr">
        <is>
          <t>S0-DoD-1</t>
        </is>
      </c>
      <c r="D18" s="38" t="inlineStr">
        <is>
          <t>Người thứ hai trong đội làm theo README từ máy sạch, dựng xong toàn hệ thống trong ≤ 5 phút bấm đồng hồ, không hỏi ai</t>
        </is>
      </c>
      <c r="E18" s="37" t="inlineStr">
        <is>
          <t>S0</t>
        </is>
      </c>
      <c r="F18" s="38" t="inlineStr"/>
      <c r="G18" s="37" t="inlineStr"/>
      <c r="H18" s="37" t="inlineStr"/>
      <c r="I18" s="37" t="inlineStr">
        <is>
          <t>Một phần</t>
        </is>
      </c>
      <c r="J18" s="38" t="inlineStr">
        <is>
          <t>Lệnh pnpm dev tự động hoá đủ; chưa có lần bấm giờ thật trên máy sạch.</t>
        </is>
      </c>
      <c r="K18" s="38" t="inlineStr">
        <is>
          <t>Doc 08 §6</t>
        </is>
      </c>
      <c r="L18" s="38" t="n"/>
      <c r="M18" s="38" t="n"/>
    </row>
    <row r="19" ht="34" customHeight="1">
      <c r="A19" s="37" t="n">
        <v>14</v>
      </c>
      <c r="B19" s="38" t="inlineStr">
        <is>
          <t>DoD bổ sung</t>
        </is>
      </c>
      <c r="C19" s="39" t="inlineStr">
        <is>
          <t>S0-DoD-2</t>
        </is>
      </c>
      <c r="D19" s="38" t="inlineStr">
        <is>
          <t>GET /health trả 200 từ tên miền staging thật (không phải IP), có HTTPS hợp lệ</t>
        </is>
      </c>
      <c r="E19" s="37" t="inlineStr">
        <is>
          <t>S0</t>
        </is>
      </c>
      <c r="F19" s="38" t="inlineStr"/>
      <c r="G19" s="37" t="inlineStr"/>
      <c r="H19" s="37" t="inlineStr"/>
      <c r="I19" s="37" t="inlineStr">
        <is>
          <t>Chưa làm</t>
        </is>
      </c>
      <c r="J19" s="38" t="inlineStr">
        <is>
          <t>Chưa có staging (phụ thuộc E1-S8).</t>
        </is>
      </c>
      <c r="K19" s="38" t="inlineStr">
        <is>
          <t>Doc 08 §6</t>
        </is>
      </c>
      <c r="L19" s="38" t="n"/>
      <c r="M19" s="38" t="n"/>
    </row>
    <row r="20" ht="34" customHeight="1">
      <c r="A20" s="37" t="n">
        <v>15</v>
      </c>
      <c r="B20" s="38" t="inlineStr">
        <is>
          <t>DoD bổ sung</t>
        </is>
      </c>
      <c r="C20" s="39" t="inlineStr">
        <is>
          <t>S0-DoD-3</t>
        </is>
      </c>
      <c r="D20" s="38" t="inlineStr">
        <is>
          <t>CI chạy &lt; 8 phút; PR đỏ không merge được (branch protection đã bật)</t>
        </is>
      </c>
      <c r="E20" s="37" t="inlineStr">
        <is>
          <t>S0</t>
        </is>
      </c>
      <c r="F20" s="38" t="inlineStr"/>
      <c r="G20" s="37" t="inlineStr"/>
      <c r="H20" s="37" t="inlineStr"/>
      <c r="I20" s="37" t="inlineStr">
        <is>
          <t>Chưa xác nhận</t>
        </is>
      </c>
      <c r="J20" s="38" t="inlineStr">
        <is>
          <t>Cần người có quyền admin repo kiểm branch protection và đo thời gian CI thật.</t>
        </is>
      </c>
      <c r="K20" s="38" t="inlineStr">
        <is>
          <t>Doc 08 §6</t>
        </is>
      </c>
      <c r="L20" s="38" t="n"/>
      <c r="M20" s="38" t="n"/>
    </row>
    <row r="21" ht="34" customHeight="1">
      <c r="A21" s="37" t="n">
        <v>16</v>
      </c>
      <c r="B21" s="38" t="inlineStr">
        <is>
          <t>DoD bổ sung</t>
        </is>
      </c>
      <c r="C21" s="39" t="inlineStr">
        <is>
          <t>S0-DoD-4</t>
        </is>
      </c>
      <c r="D21" s="38" t="inlineStr">
        <is>
          <t>Dev build cài được lên 1 iPhone thật + 1 Android thật, ảnh chụp màn hình lưu trong issue</t>
        </is>
      </c>
      <c r="E21" s="37" t="inlineStr">
        <is>
          <t>S0</t>
        </is>
      </c>
      <c r="F21" s="38" t="inlineStr"/>
      <c r="G21" s="37" t="inlineStr"/>
      <c r="H21" s="37" t="inlineStr"/>
      <c r="I21" s="37" t="inlineStr">
        <is>
          <t>Chưa làm</t>
        </is>
      </c>
      <c r="J21" s="38" t="inlineStr">
        <is>
          <t>Chưa có project Expo (E1-S6).</t>
        </is>
      </c>
      <c r="K21" s="38" t="inlineStr">
        <is>
          <t>Doc 08 §6</t>
        </is>
      </c>
      <c r="L21" s="38" t="n"/>
      <c r="M21" s="38" t="n"/>
    </row>
    <row r="22" ht="34" customHeight="1">
      <c r="A22" s="37" t="n">
        <v>17</v>
      </c>
      <c r="B22" s="38" t="inlineStr">
        <is>
          <t>DoD bổ sung</t>
        </is>
      </c>
      <c r="C22" s="39" t="inlineStr">
        <is>
          <t>S0-DoD-5</t>
        </is>
      </c>
      <c r="D22" s="38" t="inlineStr">
        <is>
          <t>Khung i18n có sẵn 2 locale en/vi, mặc định en; đã có 1 chuỗi mẫu chứng minh cả hai đường</t>
        </is>
      </c>
      <c r="E22" s="37" t="inlineStr">
        <is>
          <t>S0</t>
        </is>
      </c>
      <c r="F22" s="38" t="inlineStr"/>
      <c r="G22" s="37" t="inlineStr"/>
      <c r="H22" s="37" t="inlineStr"/>
      <c r="I22" s="37" t="inlineStr">
        <is>
          <t>Xong</t>
        </is>
      </c>
      <c r="J22" s="38" t="inlineStr"/>
      <c r="K22" s="38" t="inlineStr">
        <is>
          <t>Doc 08 §6</t>
        </is>
      </c>
      <c r="L22" s="38" t="n"/>
      <c r="M22" s="38" t="n"/>
    </row>
    <row r="23" ht="34" customHeight="1">
      <c r="A23" s="37" t="n">
        <v>18</v>
      </c>
      <c r="B23" s="38" t="inlineStr">
        <is>
          <t>DoD bổ sung</t>
        </is>
      </c>
      <c r="C23" s="39" t="inlineStr">
        <is>
          <t>S0-DoD-6</t>
        </is>
      </c>
      <c r="D23" s="38" t="inlineStr">
        <is>
          <t>Sổ đăng ký hoạt động xử lý dữ liệu cá nhân đã tạo file rỗng có cấu trúc, chờ điền từ S1</t>
        </is>
      </c>
      <c r="E23" s="37" t="inlineStr">
        <is>
          <t>S0</t>
        </is>
      </c>
      <c r="F23" s="38" t="inlineStr"/>
      <c r="G23" s="37" t="inlineStr"/>
      <c r="H23" s="37" t="inlineStr"/>
      <c r="I23" s="37" t="inlineStr">
        <is>
          <t>Chưa làm</t>
        </is>
      </c>
      <c r="J23" s="38" t="inlineStr">
        <is>
          <t>Chưa có file sổ đăng ký, chưa có thư mục ops/legal/.</t>
        </is>
      </c>
      <c r="K23" s="38" t="inlineStr">
        <is>
          <t>Doc 08 §6</t>
        </is>
      </c>
      <c r="L23" s="38" t="n"/>
      <c r="M23" s="38" t="n"/>
    </row>
    <row r="24" ht="34" customHeight="1">
      <c r="A24" s="40" t="n">
        <v>19</v>
      </c>
      <c r="B24" s="41" t="inlineStr">
        <is>
          <t>Nghiệm thu</t>
        </is>
      </c>
      <c r="C24" s="42" t="inlineStr">
        <is>
          <t>M0-1</t>
        </is>
      </c>
      <c r="D24" s="41" t="inlineStr">
        <is>
          <t>GET /api/v1/health trả 200 từ tên miền staging có HTTPS hợp lệ</t>
        </is>
      </c>
      <c r="E24" s="40" t="inlineStr"/>
      <c r="F24" s="41" t="inlineStr"/>
      <c r="G24" s="40" t="inlineStr"/>
      <c r="H24" s="40" t="inlineStr"/>
      <c r="I24" s="40" t="inlineStr">
        <is>
          <t>Chưa làm</t>
        </is>
      </c>
      <c r="J24" s="41" t="inlineStr">
        <is>
          <t>Bằng chứng: Ảnh chụp curl -i + chứng chỉ</t>
        </is>
      </c>
      <c r="K24" s="41" t="inlineStr">
        <is>
          <t>Doc 08 §7</t>
        </is>
      </c>
      <c r="L24" s="41" t="n"/>
      <c r="M24" s="41" t="n"/>
    </row>
    <row r="25" ht="49" customHeight="1">
      <c r="A25" s="40" t="n">
        <v>20</v>
      </c>
      <c r="B25" s="41" t="inlineStr">
        <is>
          <t>Nghiệm thu</t>
        </is>
      </c>
      <c r="C25" s="42" t="inlineStr">
        <is>
          <t>M0-2</t>
        </is>
      </c>
      <c r="D25" s="41" t="inlineStr">
        <is>
          <t>CI xanh trên develop, thời gian chạy &lt; 8 phút, branch protection đã bật</t>
        </is>
      </c>
      <c r="E25" s="40" t="inlineStr"/>
      <c r="F25" s="41" t="inlineStr"/>
      <c r="G25" s="40" t="inlineStr"/>
      <c r="H25" s="40" t="inlineStr"/>
      <c r="I25" s="40" t="inlineStr">
        <is>
          <t>Một phần</t>
        </is>
      </c>
      <c r="J25" s="41" t="inlineStr">
        <is>
          <t>CI chạy trên PR; thiếu build + branch protection chưa xác nhận. Bằng chứng: Link run CI + ảnh cấu hình</t>
        </is>
      </c>
      <c r="K25" s="41" t="inlineStr">
        <is>
          <t>Doc 08 §7</t>
        </is>
      </c>
      <c r="L25" s="41" t="n"/>
      <c r="M25" s="41" t="n"/>
    </row>
    <row r="26" ht="34" customHeight="1">
      <c r="A26" s="40" t="n">
        <v>21</v>
      </c>
      <c r="B26" s="41" t="inlineStr">
        <is>
          <t>Nghiệm thu</t>
        </is>
      </c>
      <c r="C26" s="42" t="inlineStr">
        <is>
          <t>M0-3</t>
        </is>
      </c>
      <c r="D26" s="41" t="inlineStr">
        <is>
          <t>Người thứ hai dựng local từ máy sạch trong ≤ 5 phút</t>
        </is>
      </c>
      <c r="E26" s="40" t="inlineStr"/>
      <c r="F26" s="41" t="inlineStr"/>
      <c r="G26" s="40" t="inlineStr"/>
      <c r="H26" s="40" t="inlineStr"/>
      <c r="I26" s="40" t="inlineStr">
        <is>
          <t>Một phần</t>
        </is>
      </c>
      <c r="J26" s="41" t="inlineStr">
        <is>
          <t>Chưa bấm giờ thật. Bằng chứng: Video màn hình bấm đồng hồ</t>
        </is>
      </c>
      <c r="K26" s="41" t="inlineStr">
        <is>
          <t>Doc 08 §7</t>
        </is>
      </c>
      <c r="L26" s="41" t="n"/>
      <c r="M26" s="41" t="n"/>
    </row>
    <row r="27" ht="19" customHeight="1">
      <c r="A27" s="40" t="n">
        <v>22</v>
      </c>
      <c r="B27" s="41" t="inlineStr">
        <is>
          <t>Nghiệm thu</t>
        </is>
      </c>
      <c r="C27" s="42" t="inlineStr">
        <is>
          <t>M0-4</t>
        </is>
      </c>
      <c r="D27" s="41" t="inlineStr">
        <is>
          <t>Dev build cài chạy trên 1 iPhone thật + 1 Android thật</t>
        </is>
      </c>
      <c r="E27" s="40" t="inlineStr"/>
      <c r="F27" s="41" t="inlineStr"/>
      <c r="G27" s="40" t="inlineStr"/>
      <c r="H27" s="40" t="inlineStr"/>
      <c r="I27" s="40" t="inlineStr">
        <is>
          <t>Chưa làm</t>
        </is>
      </c>
      <c r="J27" s="41" t="inlineStr">
        <is>
          <t>Bằng chứng: 2 ảnh chụp màn hình thiết bị</t>
        </is>
      </c>
      <c r="K27" s="41" t="inlineStr">
        <is>
          <t>Doc 08 §7</t>
        </is>
      </c>
      <c r="L27" s="41" t="n"/>
      <c r="M27" s="41" t="n"/>
    </row>
    <row r="28" ht="34" customHeight="1">
      <c r="A28" s="40" t="n">
        <v>23</v>
      </c>
      <c r="B28" s="41" t="inlineStr">
        <is>
          <t>Nghiệm thu</t>
        </is>
      </c>
      <c r="C28" s="42" t="inlineStr">
        <is>
          <t>M0-5</t>
        </is>
      </c>
      <c r="D28" s="41" t="inlineStr">
        <is>
          <t>Merge develop → staging tự cập nhật ≤ 10 phút (hoặc script 1 lệnh, xem phương án hạ tải §6.3)</t>
        </is>
      </c>
      <c r="E28" s="40" t="inlineStr"/>
      <c r="F28" s="41" t="inlineStr"/>
      <c r="G28" s="40" t="inlineStr"/>
      <c r="H28" s="40" t="inlineStr"/>
      <c r="I28" s="40" t="inlineStr">
        <is>
          <t>Chưa làm</t>
        </is>
      </c>
      <c r="J28" s="41" t="inlineStr">
        <is>
          <t>Bằng chứng: Log deploy</t>
        </is>
      </c>
      <c r="K28" s="41" t="inlineStr">
        <is>
          <t>Doc 08 §7</t>
        </is>
      </c>
      <c r="L28" s="41" t="n"/>
      <c r="M28" s="41" t="n"/>
    </row>
    <row r="29" ht="19" customHeight="1">
      <c r="A29" s="40" t="n">
        <v>24</v>
      </c>
      <c r="B29" s="41" t="inlineStr">
        <is>
          <t>Nghiệm thu</t>
        </is>
      </c>
      <c r="C29" s="42" t="inlineStr">
        <is>
          <t>M0-6</t>
        </is>
      </c>
      <c r="D29" s="41" t="inlineStr">
        <is>
          <t>2 locale en/vi hoạt động, mặc định en</t>
        </is>
      </c>
      <c r="E29" s="40" t="inlineStr"/>
      <c r="F29" s="41" t="inlineStr"/>
      <c r="G29" s="40" t="inlineStr"/>
      <c r="H29" s="40" t="inlineStr"/>
      <c r="I29" s="40" t="inlineStr">
        <is>
          <t>Xong</t>
        </is>
      </c>
      <c r="J29" s="41" t="inlineStr">
        <is>
          <t>Bằng chứng: Ảnh 2 trạng thái</t>
        </is>
      </c>
      <c r="K29" s="41" t="inlineStr">
        <is>
          <t>Doc 08 §7</t>
        </is>
      </c>
      <c r="L29" s="41" t="n"/>
      <c r="M29" s="41" t="n"/>
    </row>
    <row r="30" ht="34" customHeight="1">
      <c r="A30" s="40" t="n">
        <v>25</v>
      </c>
      <c r="B30" s="41" t="inlineStr">
        <is>
          <t>Nghiệm thu</t>
        </is>
      </c>
      <c r="C30" s="42" t="inlineStr">
        <is>
          <t>M0-7</t>
        </is>
      </c>
      <c r="D30" s="41" t="inlineStr">
        <is>
          <t>Hồ sơ D-U-N-S đã nộp, có mã hồ sơ</t>
        </is>
      </c>
      <c r="E30" s="40" t="inlineStr"/>
      <c r="F30" s="41" t="inlineStr"/>
      <c r="G30" s="40" t="inlineStr"/>
      <c r="H30" s="40" t="inlineStr"/>
      <c r="I30" s="40" t="inlineStr">
        <is>
          <t>Chưa xác nhận</t>
        </is>
      </c>
      <c r="J30" s="41" t="inlineStr">
        <is>
          <t>Việc của Founder, chưa có bằng chứng trong repo. Bằng chứng: Email xác nhận</t>
        </is>
      </c>
      <c r="K30" s="41" t="inlineStr">
        <is>
          <t>Doc 08 §7</t>
        </is>
      </c>
      <c r="L30" s="41" t="n"/>
      <c r="M30" s="41" t="n"/>
    </row>
    <row r="31" ht="34" customHeight="1">
      <c r="A31" s="43" t="n">
        <v>26</v>
      </c>
      <c r="B31" s="44" t="inlineStr">
        <is>
          <t>Demo</t>
        </is>
      </c>
      <c r="C31" s="45" t="inlineStr">
        <is>
          <t>S0-Demo-1</t>
        </is>
      </c>
      <c r="D31" s="44" t="inlineStr">
        <is>
          <t>Mở terminal máy sạch, git clone + docker compose up, gọi curl localhost:3000/api/v1/health → {"status":"ok"}</t>
        </is>
      </c>
      <c r="E31" s="43" t="inlineStr">
        <is>
          <t>S0</t>
        </is>
      </c>
      <c r="F31" s="44" t="inlineStr"/>
      <c r="G31" s="43" t="inlineStr"/>
      <c r="H31" s="43" t="inlineStr"/>
      <c r="I31" s="43" t="inlineStr">
        <is>
          <t>Một phần</t>
        </is>
      </c>
      <c r="J31" s="44" t="inlineStr">
        <is>
          <t>Chạy được trên localhost; staging chưa có.</t>
        </is>
      </c>
      <c r="K31" s="44" t="inlineStr">
        <is>
          <t>Doc 08 §6</t>
        </is>
      </c>
      <c r="L31" s="44" t="n"/>
      <c r="M31" s="44" t="n"/>
    </row>
    <row r="32" ht="34" customHeight="1">
      <c r="A32" s="43" t="n">
        <v>27</v>
      </c>
      <c r="B32" s="44" t="inlineStr">
        <is>
          <t>Demo</t>
        </is>
      </c>
      <c r="C32" s="45" t="inlineStr">
        <is>
          <t>S0-Demo-2</t>
        </is>
      </c>
      <c r="D32" s="44" t="inlineStr">
        <is>
          <t>Mở trình duyệt vào tên miền staging → trang Next.js chào mừng, bấm nút đổi ngôn ngữ EN ↔ VI</t>
        </is>
      </c>
      <c r="E32" s="43" t="inlineStr">
        <is>
          <t>S0</t>
        </is>
      </c>
      <c r="F32" s="44" t="inlineStr"/>
      <c r="G32" s="43" t="inlineStr"/>
      <c r="H32" s="43" t="inlineStr"/>
      <c r="I32" s="43" t="inlineStr">
        <is>
          <t>Chưa làm</t>
        </is>
      </c>
      <c r="J32" s="44" t="inlineStr"/>
      <c r="K32" s="44" t="inlineStr">
        <is>
          <t>Doc 08 §6</t>
        </is>
      </c>
      <c r="L32" s="44" t="n"/>
      <c r="M32" s="44" t="n"/>
    </row>
    <row r="33" ht="34" customHeight="1">
      <c r="A33" s="43" t="n">
        <v>28</v>
      </c>
      <c r="B33" s="44" t="inlineStr">
        <is>
          <t>Demo</t>
        </is>
      </c>
      <c r="C33" s="45" t="inlineStr">
        <is>
          <t>S0-Demo-3</t>
        </is>
      </c>
      <c r="D33" s="44" t="inlineStr">
        <is>
          <t>Cầm iPhone thật lên, mở app dev build, đi qua 3 màn hình khung</t>
        </is>
      </c>
      <c r="E33" s="43" t="inlineStr">
        <is>
          <t>S0</t>
        </is>
      </c>
      <c r="F33" s="44" t="inlineStr"/>
      <c r="G33" s="43" t="inlineStr"/>
      <c r="H33" s="43" t="inlineStr"/>
      <c r="I33" s="43" t="inlineStr">
        <is>
          <t>Chưa làm</t>
        </is>
      </c>
      <c r="J33" s="44" t="inlineStr"/>
      <c r="K33" s="44" t="inlineStr">
        <is>
          <t>Doc 08 §6</t>
        </is>
      </c>
      <c r="L33" s="44" t="n"/>
      <c r="M33" s="44" t="n"/>
    </row>
    <row r="34" ht="34" customHeight="1">
      <c r="A34" s="43" t="n">
        <v>29</v>
      </c>
      <c r="B34" s="44" t="inlineStr">
        <is>
          <t>Demo</t>
        </is>
      </c>
      <c r="C34" s="45" t="inlineStr">
        <is>
          <t>S0-Demo-4</t>
        </is>
      </c>
      <c r="D34" s="44" t="inlineStr">
        <is>
          <t>Push 1 commit vô hại lên develop ngay trong buổi demo → mọi người xem CI chạy và staging tự cập nhật sau ~6 phút</t>
        </is>
      </c>
      <c r="E34" s="43" t="inlineStr">
        <is>
          <t>S0</t>
        </is>
      </c>
      <c r="F34" s="44" t="inlineStr"/>
      <c r="G34" s="43" t="inlineStr"/>
      <c r="H34" s="43" t="inlineStr"/>
      <c r="I34" s="43" t="inlineStr">
        <is>
          <t>Chưa làm</t>
        </is>
      </c>
      <c r="J34" s="44" t="inlineStr"/>
      <c r="K34" s="44" t="inlineStr">
        <is>
          <t>Doc 08 §6</t>
        </is>
      </c>
      <c r="L34" s="44" t="n"/>
      <c r="M34" s="44" t="n"/>
    </row>
    <row r="35" ht="34" customHeight="1">
      <c r="A35" s="46" t="n">
        <v>30</v>
      </c>
      <c r="B35" s="47" t="inlineStr">
        <is>
          <t>Việc ngoài SP</t>
        </is>
      </c>
      <c r="C35" s="48" t="inlineStr">
        <is>
          <t>S0-Ops-1</t>
        </is>
      </c>
      <c r="D35" s="47" t="inlineStr">
        <is>
          <t>Nộp hồ sơ D-U-N-S Number (miễn phí, 5–14 ngày làm việc) — đây là việc chặn dài nhất của cả dự án, làm ngày đầu tiên</t>
        </is>
      </c>
      <c r="E35" s="46" t="inlineStr">
        <is>
          <t>S0</t>
        </is>
      </c>
      <c r="F35" s="47" t="inlineStr">
        <is>
          <t>Founder / Community Manager</t>
        </is>
      </c>
      <c r="G35" s="46" t="inlineStr"/>
      <c r="H35" s="46" t="inlineStr"/>
      <c r="I35" s="46" t="inlineStr">
        <is>
          <t>Chưa xác nhận</t>
        </is>
      </c>
      <c r="J35" s="47" t="inlineStr"/>
      <c r="K35" s="47" t="inlineStr">
        <is>
          <t>Doc 08 §6</t>
        </is>
      </c>
      <c r="L35" s="47" t="n"/>
      <c r="M35" s="47" t="n"/>
    </row>
    <row r="36" ht="34" customHeight="1">
      <c r="A36" s="46" t="n">
        <v>31</v>
      </c>
      <c r="B36" s="47" t="inlineStr">
        <is>
          <t>Việc ngoài SP</t>
        </is>
      </c>
      <c r="C36" s="48" t="inlineStr">
        <is>
          <t>S0-Ops-2</t>
        </is>
      </c>
      <c r="D36" s="47" t="inlineStr">
        <is>
          <t>Mở tài khoản Google Play Console (25 USD một lần) — làm ngay vì chính sách closed testing 14 ngày tính từ lúc có tester</t>
        </is>
      </c>
      <c r="E36" s="46" t="inlineStr">
        <is>
          <t>S0</t>
        </is>
      </c>
      <c r="F36" s="47" t="inlineStr">
        <is>
          <t>Founder / Community Manager</t>
        </is>
      </c>
      <c r="G36" s="46" t="inlineStr"/>
      <c r="H36" s="46" t="inlineStr"/>
      <c r="I36" s="46" t="inlineStr">
        <is>
          <t>Chưa xác nhận</t>
        </is>
      </c>
      <c r="J36" s="47" t="inlineStr"/>
      <c r="K36" s="47" t="inlineStr">
        <is>
          <t>Doc 08 §6</t>
        </is>
      </c>
      <c r="L36" s="47" t="n"/>
      <c r="M36" s="47" t="n"/>
    </row>
    <row r="37" ht="19" customHeight="1">
      <c r="A37" s="46" t="n">
        <v>32</v>
      </c>
      <c r="B37" s="47" t="inlineStr">
        <is>
          <t>Việc ngoài SP</t>
        </is>
      </c>
      <c r="C37" s="48" t="inlineStr">
        <is>
          <t>S0-Ops-3</t>
        </is>
      </c>
      <c r="D37" s="47" t="inlineStr">
        <is>
          <t>Đăng ký tên miền + email doanh nghiệp</t>
        </is>
      </c>
      <c r="E37" s="46" t="inlineStr">
        <is>
          <t>S0</t>
        </is>
      </c>
      <c r="F37" s="47" t="inlineStr">
        <is>
          <t>Founder / Community Manager</t>
        </is>
      </c>
      <c r="G37" s="46" t="inlineStr"/>
      <c r="H37" s="46" t="inlineStr"/>
      <c r="I37" s="46" t="inlineStr">
        <is>
          <t>Chưa xác nhận</t>
        </is>
      </c>
      <c r="J37" s="47" t="inlineStr"/>
      <c r="K37" s="47" t="inlineStr">
        <is>
          <t>Doc 08 §6</t>
        </is>
      </c>
      <c r="L37" s="47" t="n"/>
      <c r="M37" s="47" t="n"/>
    </row>
    <row r="38" ht="19" customHeight="1">
      <c r="A38" s="46" t="n">
        <v>33</v>
      </c>
      <c r="B38" s="47" t="inlineStr">
        <is>
          <t>Việc ngoài SP</t>
        </is>
      </c>
      <c r="C38" s="48" t="inlineStr">
        <is>
          <t>S0-Ops-4</t>
        </is>
      </c>
      <c r="D38" s="47" t="inlineStr">
        <is>
          <t>Chốt danh sách 20 organizer mục tiêu để tiếp cận từ S2</t>
        </is>
      </c>
      <c r="E38" s="46" t="inlineStr">
        <is>
          <t>S0</t>
        </is>
      </c>
      <c r="F38" s="47" t="inlineStr">
        <is>
          <t>Founder / Community Manager</t>
        </is>
      </c>
      <c r="G38" s="46" t="inlineStr"/>
      <c r="H38" s="46" t="inlineStr"/>
      <c r="I38" s="46" t="inlineStr">
        <is>
          <t>Chưa xác nhận</t>
        </is>
      </c>
      <c r="J38" s="47" t="inlineStr"/>
      <c r="K38" s="47" t="inlineStr">
        <is>
          <t>Doc 08 §6</t>
        </is>
      </c>
      <c r="L38" s="47" t="n"/>
      <c r="M38" s="47" t="n"/>
    </row>
  </sheetData>
  <autoFilter ref="A5:M38"/>
  <mergeCells count="4">
    <mergeCell ref="A4:B4"/>
    <mergeCell ref="A3:M3"/>
    <mergeCell ref="A2:M2"/>
    <mergeCell ref="A1:M1"/>
  </mergeCells>
  <conditionalFormatting sqref="I6:I68">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onditionalFormatting>
  <dataValidations count="1">
    <dataValidation sqref="I6:I68" showDropDown="0" showInputMessage="0" showErrorMessage="1" allowBlank="1" errorTitle="Trạng thái không hợp lệ" error="Chọn một trong: Xong, Một phần, Chưa làm, Bị chặn, Cần chốt, Chưa xác nhận" type="list">
      <formula1>"Xong,Một phần,Chưa làm,Bị chặn,Cần chốt,Chưa xác nhận"</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0369A1"/>
    <outlinePr summaryBelow="1" summaryRight="1"/>
    <pageSetUpPr fitToPage="1"/>
  </sheetPr>
  <dimension ref="A1:M54"/>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8" t="inlineStr">
        <is>
          <t>M1 · API nền + Auth — chốt 02/10/2026 · Sprint S1</t>
        </is>
      </c>
    </row>
    <row r="2" ht="18" customHeight="1">
      <c r="A2" s="19" t="inlineStr">
        <is>
          <t>Mục tiêu: S1 — Định danh &amp; Xác thực (21/09 – 02/10/2026): Một người thật tạo được tài khoản, đăng nhập trên cả web lẫn điện thoại, và phiên đăng nhập giữ được qua nhiều ngày mà không tự đăng xuất.</t>
        </is>
      </c>
    </row>
    <row r="3" ht="32" customHeight="1">
      <c r="A3" s="20" t="inlineStr">
        <is>
          <t>Nếu trượt: M1 không được trượt. Đây là mắt xích đường găng cứng nhất phía kỹ thuật — toàn bộ E3, E4, E6 đều chờ nó. Trượt M1 thì trượt hết. Phương án khẩn: cắt E2-S5 (Facebook) và E2-S6 (đặt lại mật khẩu) sang S2, dồn 2 người vào E2-S2 và E2-S9.</t>
        </is>
      </c>
    </row>
    <row r="4" ht="20" customHeight="1">
      <c r="A4" s="21" t="inlineStr">
        <is>
          <t>Tiến độ</t>
        </is>
      </c>
      <c r="B4" s="22" t="n"/>
      <c r="C4" s="22">
        <f>COUNTA($C$6:$C$400)&amp;" mục"</f>
        <v/>
      </c>
      <c r="D4" s="23">
        <f>"Xong: "&amp;COUNTIF($I$6:$I$400,"Xong")</f>
        <v/>
      </c>
      <c r="E4" s="24">
        <f>"Một phần: "&amp;COUNTIF($I$6:$I$400,"Một phần")</f>
        <v/>
      </c>
      <c r="F4" s="25">
        <f>"Chưa làm: "&amp;COUNTIF($I$6:$I$400,"Chưa làm")</f>
        <v/>
      </c>
      <c r="G4" s="26">
        <f>"Bị chặn: "&amp;COUNTIF($I$6:$I$400,"Bị chặn")</f>
        <v/>
      </c>
      <c r="H4" s="27">
        <f>"Cần chốt: "&amp;COUNTIF($I$6:$I$400,"Cần chốt")</f>
        <v/>
      </c>
      <c r="I4" s="28">
        <f>"Chưa xác nhận: "&amp;COUNTIF($I$6:$I$400,"Chưa xác nhận")</f>
        <v/>
      </c>
      <c r="J4" s="29">
        <f>"Tỷ lệ xong: "&amp;TEXT(IFERROR(COUNTIF($I$6:$I$400,"Xong")/COUNTA($C$6:$C$400),0),"0%")</f>
        <v/>
      </c>
      <c r="K4" s="22" t="n"/>
      <c r="L4" s="22" t="n"/>
      <c r="M4" s="22"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34" customHeight="1">
      <c r="A6" s="30" t="n">
        <v>1</v>
      </c>
      <c r="B6" s="31" t="inlineStr">
        <is>
          <t>Việc chặn &amp; cần chốt</t>
        </is>
      </c>
      <c r="C6" s="32" t="inlineStr">
        <is>
          <t>CH-01</t>
        </is>
      </c>
      <c r="D6" s="33" t="inlineStr">
        <is>
          <t>Nghĩa vụ xác thực SĐT Việt Nam theo NĐ 147/2024: mọi tài khoản hay chỉ tài khoản đăng nội dung công khai.</t>
        </is>
      </c>
      <c r="E6" s="30" t="inlineStr"/>
      <c r="F6" s="33" t="inlineStr">
        <is>
          <t>Founder + Luật sư</t>
        </is>
      </c>
      <c r="G6" s="30" t="inlineStr"/>
      <c r="H6" s="30" t="inlineStr"/>
      <c r="I6" s="30" t="inlineStr">
        <is>
          <t>Cần chốt</t>
        </is>
      </c>
      <c r="J6" s="33" t="inlineStr">
        <is>
          <t>Hạn 21/09. Code đang ngầm chọn "không bắt buộc".</t>
        </is>
      </c>
      <c r="K6" s="33" t="inlineStr">
        <is>
          <t>Doc 00 §9</t>
        </is>
      </c>
      <c r="L6" s="33" t="n"/>
      <c r="M6" s="33" t="n"/>
    </row>
    <row r="7" ht="34" customHeight="1">
      <c r="A7" s="30" t="n">
        <v>2</v>
      </c>
      <c r="B7" s="31" t="inlineStr">
        <is>
          <t>Việc chặn &amp; cần chốt</t>
        </is>
      </c>
      <c r="C7" s="32" t="inlineStr">
        <is>
          <t>MT-17</t>
        </is>
      </c>
      <c r="D7" s="33" t="inlineStr">
        <is>
          <t>Chốt tên guard/decorator trust và RBAC (code: TrustLevelGuard/@MinTrustLevel; doc: TrustTierGuard/@MinTrust).</t>
        </is>
      </c>
      <c r="E7" s="30" t="inlineStr"/>
      <c r="F7" s="33" t="inlineStr">
        <is>
          <t>Tech Lead</t>
        </is>
      </c>
      <c r="G7" s="30" t="inlineStr"/>
      <c r="H7" s="30" t="inlineStr"/>
      <c r="I7" s="30" t="inlineStr">
        <is>
          <t>Cần chốt</t>
        </is>
      </c>
      <c r="J7" s="33" t="inlineStr">
        <is>
          <t>Hạn 21/09; chặn E2-S7.</t>
        </is>
      </c>
      <c r="K7" s="33" t="inlineStr">
        <is>
          <t>Doc 00 · Kiểm tra code 18/09/2026</t>
        </is>
      </c>
      <c r="L7" s="33" t="n"/>
      <c r="M7" s="33" t="n"/>
    </row>
    <row r="8" ht="34" customHeight="1">
      <c r="A8" s="30" t="n">
        <v>3</v>
      </c>
      <c r="B8" s="31" t="inlineStr">
        <is>
          <t>Việc chặn &amp; cần chốt</t>
        </is>
      </c>
      <c r="C8" s="32" t="inlineStr">
        <is>
          <t>MT-16</t>
        </is>
      </c>
      <c r="D8" s="33" t="inlineStr">
        <is>
          <t>user_status_enum 5 hay 8 giá trị (enum Postgres không xoá được giá trị).</t>
        </is>
      </c>
      <c r="E8" s="30" t="inlineStr"/>
      <c r="F8" s="33" t="inlineStr">
        <is>
          <t>Tech Lead</t>
        </is>
      </c>
      <c r="G8" s="30" t="inlineStr"/>
      <c r="H8" s="30" t="inlineStr"/>
      <c r="I8" s="30" t="inlineStr">
        <is>
          <t>Cần chốt</t>
        </is>
      </c>
      <c r="J8" s="33" t="inlineStr">
        <is>
          <t>Hạn 02/10.</t>
        </is>
      </c>
      <c r="K8" s="33" t="inlineStr">
        <is>
          <t>Doc 00</t>
        </is>
      </c>
      <c r="L8" s="33" t="n"/>
      <c r="M8" s="33" t="n"/>
    </row>
    <row r="9" ht="49" customHeight="1">
      <c r="A9" s="30" t="n">
        <v>4</v>
      </c>
      <c r="B9" s="31" t="inlineStr">
        <is>
          <t>Việc chặn &amp; cần chốt</t>
        </is>
      </c>
      <c r="C9" s="32" t="inlineStr">
        <is>
          <t>PERM-MATRIX</t>
        </is>
      </c>
      <c r="D9" s="33" t="inlineStr">
        <is>
          <t>Vị trí PERMISSION_MATRIX máy đọc được (doc 00: packages/shared-types; doc 01: apps/api/…/authz/) + test describe.each T-1→T-5.</t>
        </is>
      </c>
      <c r="E9" s="30" t="inlineStr"/>
      <c r="F9" s="33" t="inlineStr">
        <is>
          <t>Tech Lead</t>
        </is>
      </c>
      <c r="G9" s="30" t="inlineStr"/>
      <c r="H9" s="30" t="inlineStr"/>
      <c r="I9" s="30" t="inlineStr">
        <is>
          <t>Cần chốt</t>
        </is>
      </c>
      <c r="J9" s="33" t="inlineStr">
        <is>
          <t>Hạn 21/09.</t>
        </is>
      </c>
      <c r="K9" s="33" t="inlineStr">
        <is>
          <t>Doc 00 §10 · Doc 01 §9.2</t>
        </is>
      </c>
      <c r="L9" s="33" t="n"/>
      <c r="M9" s="33" t="n"/>
    </row>
    <row r="10" ht="34" customHeight="1">
      <c r="A10" s="30" t="n">
        <v>5</v>
      </c>
      <c r="B10" s="31" t="inlineStr">
        <is>
          <t>Việc chặn &amp; cần chốt</t>
        </is>
      </c>
      <c r="C10" s="32" t="inlineStr">
        <is>
          <t>ADR-C9</t>
        </is>
      </c>
      <c r="D10" s="33" t="inlineStr">
        <is>
          <t>Có tách schema identity_secret cho bảng xác thực mới không (ADR-0000 mục C9).</t>
        </is>
      </c>
      <c r="E10" s="30" t="inlineStr"/>
      <c r="F10" s="33" t="inlineStr">
        <is>
          <t>Founder</t>
        </is>
      </c>
      <c r="G10" s="30" t="inlineStr"/>
      <c r="H10" s="30" t="inlineStr"/>
      <c r="I10" s="30" t="inlineStr">
        <is>
          <t>Cần chốt</t>
        </is>
      </c>
      <c r="J10" s="33" t="inlineStr">
        <is>
          <t>Hạn ký 07/09 đã qua.</t>
        </is>
      </c>
      <c r="K10" s="33" t="inlineStr">
        <is>
          <t>docs/adr/0000</t>
        </is>
      </c>
      <c r="L10" s="33" t="n"/>
      <c r="M10" s="33" t="n"/>
    </row>
    <row r="11" ht="49" customHeight="1">
      <c r="A11" s="30" t="n">
        <v>6</v>
      </c>
      <c r="B11" s="31" t="inlineStr">
        <is>
          <t>Việc chặn &amp; cần chốt</t>
        </is>
      </c>
      <c r="C11" s="32" t="inlineStr">
        <is>
          <t>TOKEN-MOBILE</t>
        </is>
      </c>
      <c r="D11" s="33" t="inlineStr">
        <is>
          <t>Một cơ chế trả refresh token dùng chung cho web (cookie), mobile (SecureStore) và social login; đổi hợp đồng packages/contracts.</t>
        </is>
      </c>
      <c r="E11" s="30" t="inlineStr"/>
      <c r="F11" s="33" t="inlineStr">
        <is>
          <t>Tech Lead + Backend</t>
        </is>
      </c>
      <c r="G11" s="30" t="inlineStr"/>
      <c r="H11" s="30" t="inlineStr"/>
      <c r="I11" s="30" t="inlineStr">
        <is>
          <t>Cần chốt</t>
        </is>
      </c>
      <c r="J11" s="33" t="inlineStr">
        <is>
          <t>Chặn E2-S3, E2-S4, E2-S9. Cổng phê duyệt: đổi packages dùng chung.</t>
        </is>
      </c>
      <c r="K11" s="33" t="inlineStr">
        <is>
          <t>Kiểm tra code 18/09/2026</t>
        </is>
      </c>
      <c r="L11" s="33" t="n"/>
      <c r="M11" s="33" t="n"/>
    </row>
    <row r="12" ht="34" customHeight="1">
      <c r="A12" s="30" t="n">
        <v>7</v>
      </c>
      <c r="B12" s="31" t="inlineStr">
        <is>
          <t>Việc chặn &amp; cần chốt</t>
        </is>
      </c>
      <c r="C12" s="32" t="inlineStr">
        <is>
          <t>BR-30</t>
        </is>
      </c>
      <c r="D12" s="33" t="inlineStr">
        <is>
          <t>Nội dung Điều khoản / Chính sách quyền riêng tư và cơ chế consent_records (NĐ 13/2023 + Luật 91/2025).</t>
        </is>
      </c>
      <c r="E12" s="30" t="inlineStr"/>
      <c r="F12" s="33" t="inlineStr">
        <is>
          <t>Founder + Luật sư</t>
        </is>
      </c>
      <c r="G12" s="30" t="inlineStr"/>
      <c r="H12" s="30" t="inlineStr"/>
      <c r="I12" s="30" t="inlineStr">
        <is>
          <t>Cần chốt</t>
        </is>
      </c>
      <c r="J12" s="33" t="inlineStr">
        <is>
          <t>Cần luật sư xác nhận.</t>
        </is>
      </c>
      <c r="K12" s="33" t="inlineStr">
        <is>
          <t>Doc 02 BR-30</t>
        </is>
      </c>
      <c r="L12" s="33" t="n"/>
      <c r="M12" s="33" t="n"/>
    </row>
    <row r="13" ht="34" customHeight="1">
      <c r="A13" s="30" t="n">
        <v>8</v>
      </c>
      <c r="B13" s="31" t="inlineStr">
        <is>
          <t>Việc chặn &amp; cần chốt</t>
        </is>
      </c>
      <c r="C13" s="32" t="inlineStr">
        <is>
          <t>ACC-APPLE-GOOGLE</t>
        </is>
      </c>
      <c r="D13" s="33" t="inlineStr">
        <is>
          <t>Xác nhận tài khoản Apple Developer tổ chức / D-U-N-S; tạo Google OAuth client (3 ID: web, iOS, Android).</t>
        </is>
      </c>
      <c r="E13" s="30" t="inlineStr"/>
      <c r="F13" s="33" t="inlineStr">
        <is>
          <t>Founder + Tech Lead</t>
        </is>
      </c>
      <c r="G13" s="30" t="inlineStr"/>
      <c r="H13" s="30" t="inlineStr"/>
      <c r="I13" s="30" t="inlineStr">
        <is>
          <t>Chưa xác nhận</t>
        </is>
      </c>
      <c r="J13" s="33" t="inlineStr"/>
      <c r="K13" s="33" t="inlineStr">
        <is>
          <t>Doc 08 §6.3</t>
        </is>
      </c>
      <c r="L13" s="33" t="n"/>
      <c r="M13" s="33" t="n"/>
    </row>
    <row r="14" ht="34" customHeight="1">
      <c r="A14" s="30" t="n">
        <v>9</v>
      </c>
      <c r="B14" s="31" t="inlineStr">
        <is>
          <t>Việc chặn &amp; cần chốt</t>
        </is>
      </c>
      <c r="C14" s="32" t="inlineStr">
        <is>
          <t>OWNERS</t>
        </is>
      </c>
      <c r="D14" s="33" t="inlineStr">
        <is>
          <t>Gán người phụ trách cho T-10, T-11, T-12, T-14 trong ACTIVE_TASKS.</t>
        </is>
      </c>
      <c r="E14" s="30" t="inlineStr"/>
      <c r="F14" s="33" t="inlineStr">
        <is>
          <t>Coordinator</t>
        </is>
      </c>
      <c r="G14" s="30" t="inlineStr"/>
      <c r="H14" s="30" t="inlineStr"/>
      <c r="I14" s="30" t="inlineStr">
        <is>
          <t>Chưa làm</t>
        </is>
      </c>
      <c r="J14" s="33" t="inlineStr">
        <is>
          <t>Cột người phụ trách đang trống.</t>
        </is>
      </c>
      <c r="K14" s="33" t="inlineStr">
        <is>
          <t>.agent/memory/ACTIVE_TASKS.md</t>
        </is>
      </c>
      <c r="L14" s="33" t="n"/>
      <c r="M14" s="33" t="n"/>
    </row>
    <row r="15" ht="34" customHeight="1">
      <c r="A15" s="30" t="n">
        <v>10</v>
      </c>
      <c r="B15" s="31" t="inlineStr">
        <is>
          <t>Việc chặn &amp; cần chốt</t>
        </is>
      </c>
      <c r="C15" s="32" t="inlineStr">
        <is>
          <t>INFRA-MAIL</t>
        </is>
      </c>
      <c r="D15" s="33" t="inlineStr">
        <is>
          <t>Nối mail client (SMTP → Mailpit) dùng chung cho E2-S1 và E2-S6.</t>
        </is>
      </c>
      <c r="E15" s="30" t="inlineStr"/>
      <c r="F15" s="33" t="inlineStr">
        <is>
          <t>Backend</t>
        </is>
      </c>
      <c r="G15" s="30" t="inlineStr"/>
      <c r="H15" s="30" t="inlineStr"/>
      <c r="I15" s="30" t="inlineStr">
        <is>
          <t>Chưa làm</t>
        </is>
      </c>
      <c r="J15" s="33" t="inlineStr"/>
      <c r="K15" s="33" t="inlineStr">
        <is>
          <t>Kiểm tra code 18/09/2026</t>
        </is>
      </c>
      <c r="L15" s="33" t="n"/>
      <c r="M15" s="33" t="n"/>
    </row>
    <row r="16" ht="34" customHeight="1">
      <c r="A16" s="30" t="n">
        <v>11</v>
      </c>
      <c r="B16" s="31" t="inlineStr">
        <is>
          <t>Việc chặn &amp; cần chốt</t>
        </is>
      </c>
      <c r="C16" s="32" t="inlineStr">
        <is>
          <t>INFRA-REDIS</t>
        </is>
      </c>
      <c r="D16" s="33" t="inlineStr">
        <is>
          <t>Nối Redis client (ioredis / BullMQ) cho rate limit E2-S10 và job trust:recompute (T-13).</t>
        </is>
      </c>
      <c r="E16" s="30" t="inlineStr"/>
      <c r="F16" s="33" t="inlineStr">
        <is>
          <t>Backend</t>
        </is>
      </c>
      <c r="G16" s="30" t="inlineStr"/>
      <c r="H16" s="30" t="inlineStr"/>
      <c r="I16" s="30" t="inlineStr">
        <is>
          <t>Chưa làm</t>
        </is>
      </c>
      <c r="J16" s="33" t="inlineStr"/>
      <c r="K16" s="33" t="inlineStr">
        <is>
          <t>Kiểm tra code 18/09/2026</t>
        </is>
      </c>
      <c r="L16" s="33" t="n"/>
      <c r="M16" s="33" t="n"/>
    </row>
    <row r="17" ht="34" customHeight="1">
      <c r="A17" s="30" t="n">
        <v>12</v>
      </c>
      <c r="B17" s="31" t="inlineStr">
        <is>
          <t>Việc chặn &amp; cần chốt</t>
        </is>
      </c>
      <c r="C17" s="32" t="inlineStr">
        <is>
          <t>SEC-JWT-LOG</t>
        </is>
      </c>
      <c r="D17" s="33" t="inlineStr">
        <is>
          <t>Vá lỗi ghi khoá riêng JWT ra log debug khi thiếu JWT_PRIVATE_KEY (auth.service.ts:107), trước khi bật log tập trung.</t>
        </is>
      </c>
      <c r="E17" s="30" t="inlineStr"/>
      <c r="F17" s="33" t="inlineStr">
        <is>
          <t>Backend</t>
        </is>
      </c>
      <c r="G17" s="30" t="inlineStr"/>
      <c r="H17" s="30" t="inlineStr"/>
      <c r="I17" s="30" t="inlineStr">
        <is>
          <t>Chưa làm</t>
        </is>
      </c>
      <c r="J17" s="33" t="inlineStr">
        <is>
          <t>Lỗi bảo mật.</t>
        </is>
      </c>
      <c r="K17" s="33" t="inlineStr">
        <is>
          <t>Kiểm tra code 18/09/2026</t>
        </is>
      </c>
      <c r="L17" s="33" t="n"/>
      <c r="M17" s="33" t="n"/>
    </row>
    <row r="18" ht="34" customHeight="1">
      <c r="A18" s="30" t="n">
        <v>13</v>
      </c>
      <c r="B18" s="31" t="inlineStr">
        <is>
          <t>Việc chặn &amp; cần chốt</t>
        </is>
      </c>
      <c r="C18" s="32" t="inlineStr">
        <is>
          <t>T-14</t>
        </is>
      </c>
      <c r="D18" s="33" t="inlineStr">
        <is>
          <t>Dựng Playwright ở apps/web-client-side/e2e/, chạy cả WebKit.</t>
        </is>
      </c>
      <c r="E18" s="30" t="inlineStr"/>
      <c r="F18" s="33" t="inlineStr">
        <is>
          <t>Tester</t>
        </is>
      </c>
      <c r="G18" s="30" t="inlineStr"/>
      <c r="H18" s="30" t="inlineStr"/>
      <c r="I18" s="30" t="inlineStr">
        <is>
          <t>Chưa làm</t>
        </is>
      </c>
      <c r="J18" s="33" t="inlineStr">
        <is>
          <t>Ba bug chỉ-có-ở-client đã lọt lưới.</t>
        </is>
      </c>
      <c r="K18" s="33" t="inlineStr">
        <is>
          <t>.agent/memory/ACTIVE_TASKS.md</t>
        </is>
      </c>
      <c r="L18" s="33" t="n"/>
      <c r="M18" s="33" t="n"/>
    </row>
    <row r="19" ht="49" customHeight="1">
      <c r="A19" s="34" t="n">
        <v>14</v>
      </c>
      <c r="B19" s="35" t="inlineStr">
        <is>
          <t>Story</t>
        </is>
      </c>
      <c r="C19" s="36" t="inlineStr">
        <is>
          <t>E2-S1</t>
        </is>
      </c>
      <c r="D19" s="35" t="inlineStr">
        <is>
          <t>Đăng ký email + xác minh email</t>
        </is>
      </c>
      <c r="E19" s="34" t="inlineStr">
        <is>
          <t>S1</t>
        </is>
      </c>
      <c r="F19" s="35" t="inlineStr">
        <is>
          <t>Backend</t>
        </is>
      </c>
      <c r="G19" s="34" t="n">
        <v>8</v>
      </c>
      <c r="H19" s="34" t="inlineStr">
        <is>
          <t>MUST</t>
        </is>
      </c>
      <c r="I19" s="34" t="inlineStr">
        <is>
          <t>Một phần</t>
        </is>
      </c>
      <c r="J19" s="35" t="inlineStr">
        <is>
          <t>Đăng ký có nhưng cấp phiên + T1 ngay; chưa có token xác minh, endpoint verify, gửi mail (Mailpit đã chạy).</t>
        </is>
      </c>
      <c r="K19" s="35" t="inlineStr">
        <is>
          <t>Kiểm tra code 18/09/2026</t>
        </is>
      </c>
      <c r="L19" s="35" t="n"/>
      <c r="M19" s="35" t="n"/>
    </row>
    <row r="20" ht="49" customHeight="1">
      <c r="A20" s="34" t="n">
        <v>15</v>
      </c>
      <c r="B20" s="35" t="inlineStr">
        <is>
          <t>Story</t>
        </is>
      </c>
      <c r="C20" s="36" t="inlineStr">
        <is>
          <t>E2-S2</t>
        </is>
      </c>
      <c r="D20" s="35" t="inlineStr">
        <is>
          <t>JWT access 15 phút + refresh 30 ngày xoay vòng, phát hiện tái sử dụng</t>
        </is>
      </c>
      <c r="E20" s="34" t="inlineStr">
        <is>
          <t>S1</t>
        </is>
      </c>
      <c r="F20" s="35" t="inlineStr">
        <is>
          <t>Backend</t>
        </is>
      </c>
      <c r="G20" s="34" t="n">
        <v>8</v>
      </c>
      <c r="H20" s="34" t="inlineStr">
        <is>
          <t>MUST</t>
        </is>
      </c>
      <c r="I20" s="34" t="inlineStr">
        <is>
          <t>Xong</t>
        </is>
      </c>
      <c r="J20" s="35" t="inlineStr">
        <is>
          <t>Access 15 phút + refresh 30 ngày xoay vòng; test e2e "dùng lại token → thu hồi cả họ" (auth.e2e.spec.ts:323).</t>
        </is>
      </c>
      <c r="K20" s="35" t="inlineStr">
        <is>
          <t>Kiểm tra code 18/09/2026</t>
        </is>
      </c>
      <c r="L20" s="35" t="n"/>
      <c r="M20" s="35" t="n"/>
    </row>
    <row r="21" ht="49" customHeight="1">
      <c r="A21" s="34" t="n">
        <v>16</v>
      </c>
      <c r="B21" s="35" t="inlineStr">
        <is>
          <t>Story</t>
        </is>
      </c>
      <c r="C21" s="36" t="inlineStr">
        <is>
          <t>E2-S3</t>
        </is>
      </c>
      <c r="D21" s="35" t="inlineStr">
        <is>
          <t>Đăng nhập Google</t>
        </is>
      </c>
      <c r="E21" s="34" t="inlineStr">
        <is>
          <t>S1</t>
        </is>
      </c>
      <c r="F21" s="35" t="inlineStr">
        <is>
          <t>Backend + Mobile</t>
        </is>
      </c>
      <c r="G21" s="34" t="n">
        <v>5</v>
      </c>
      <c r="H21" s="34" t="inlineStr">
        <is>
          <t>MUST</t>
        </is>
      </c>
      <c r="I21" s="34" t="inlineStr">
        <is>
          <t>Bị chặn</t>
        </is>
      </c>
      <c r="J21" s="35" t="inlineStr">
        <is>
          <t>Chờ khung Expo (E1-S6), bảng social_accounts, endpoint /auth/social, Google OAuth client.</t>
        </is>
      </c>
      <c r="K21" s="35" t="inlineStr">
        <is>
          <t>Kiểm tra code 18/09/2026</t>
        </is>
      </c>
      <c r="L21" s="35" t="n"/>
      <c r="M21" s="35" t="n"/>
    </row>
    <row r="22" ht="34" customHeight="1">
      <c r="A22" s="34" t="n">
        <v>17</v>
      </c>
      <c r="B22" s="35" t="inlineStr">
        <is>
          <t>Story</t>
        </is>
      </c>
      <c r="C22" s="36" t="inlineStr">
        <is>
          <t>E2-S4</t>
        </is>
      </c>
      <c r="D22" s="35" t="inlineStr">
        <is>
          <t>Đăng nhập Apple (Guideline 4.8)</t>
        </is>
      </c>
      <c r="E22" s="34" t="inlineStr">
        <is>
          <t>S1</t>
        </is>
      </c>
      <c r="F22" s="35" t="inlineStr">
        <is>
          <t>Mobile + Backend</t>
        </is>
      </c>
      <c r="G22" s="34" t="n">
        <v>5</v>
      </c>
      <c r="H22" s="34" t="inlineStr">
        <is>
          <t>MUST</t>
        </is>
      </c>
      <c r="I22" s="34" t="inlineStr">
        <is>
          <t>Bị chặn</t>
        </is>
      </c>
      <c r="J22" s="35" t="inlineStr">
        <is>
          <t>Như E2-S3, thêm tài khoản Apple Developer tổ chức / D-U-N-S.</t>
        </is>
      </c>
      <c r="K22" s="35" t="inlineStr">
        <is>
          <t>Kiểm tra code 18/09/2026</t>
        </is>
      </c>
      <c r="L22" s="35" t="n"/>
      <c r="M22" s="35" t="n"/>
    </row>
    <row r="23" ht="34" customHeight="1">
      <c r="A23" s="34" t="n">
        <v>18</v>
      </c>
      <c r="B23" s="35" t="inlineStr">
        <is>
          <t>Story</t>
        </is>
      </c>
      <c r="C23" s="36" t="inlineStr">
        <is>
          <t>E2-S6</t>
        </is>
      </c>
      <c r="D23" s="35" t="inlineStr">
        <is>
          <t>Đặt lại mật khẩu qua email</t>
        </is>
      </c>
      <c r="E23" s="34" t="inlineStr">
        <is>
          <t>S1</t>
        </is>
      </c>
      <c r="F23" s="35" t="inlineStr">
        <is>
          <t>Backend</t>
        </is>
      </c>
      <c r="G23" s="34" t="n">
        <v>3</v>
      </c>
      <c r="H23" s="34" t="inlineStr">
        <is>
          <t>MUST</t>
        </is>
      </c>
      <c r="I23" s="34" t="inlineStr">
        <is>
          <t>Chưa làm</t>
        </is>
      </c>
      <c r="J23" s="35" t="inlineStr">
        <is>
          <t>Chưa có luồng quên / đặt lại mật khẩu.</t>
        </is>
      </c>
      <c r="K23" s="35" t="inlineStr">
        <is>
          <t>Kiểm tra code 18/09/2026</t>
        </is>
      </c>
      <c r="L23" s="35" t="n"/>
      <c r="M23" s="35" t="n"/>
    </row>
    <row r="24" ht="34" customHeight="1">
      <c r="A24" s="34" t="n">
        <v>19</v>
      </c>
      <c r="B24" s="35" t="inlineStr">
        <is>
          <t>Story</t>
        </is>
      </c>
      <c r="C24" s="36" t="inlineStr">
        <is>
          <t>E2-S7</t>
        </is>
      </c>
      <c r="D24" s="35" t="inlineStr">
        <is>
          <t>Enum role toàn cục 5 giá trị + guard RBAC</t>
        </is>
      </c>
      <c r="E24" s="34" t="inlineStr">
        <is>
          <t>S1</t>
        </is>
      </c>
      <c r="F24" s="35" t="inlineStr">
        <is>
          <t>Backend</t>
        </is>
      </c>
      <c r="G24" s="34" t="n">
        <v>5</v>
      </c>
      <c r="H24" s="34" t="inlineStr">
        <is>
          <t>MUST</t>
        </is>
      </c>
      <c r="I24" s="34" t="inlineStr">
        <is>
          <t>Một phần</t>
        </is>
      </c>
      <c r="J24" s="35" t="inlineStr">
        <is>
          <t>Enum 5 role đã đúng; chưa có RolesGuard/@Roles, chỉ có TrustLevelGuard.</t>
        </is>
      </c>
      <c r="K24" s="35" t="inlineStr">
        <is>
          <t>Kiểm tra code 18/09/2026</t>
        </is>
      </c>
      <c r="L24" s="35" t="n"/>
      <c r="M24" s="35" t="n"/>
    </row>
    <row r="25" ht="49" customHeight="1">
      <c r="A25" s="34" t="n">
        <v>20</v>
      </c>
      <c r="B25" s="35" t="inlineStr">
        <is>
          <t>Story</t>
        </is>
      </c>
      <c r="C25" s="36" t="inlineStr">
        <is>
          <t>E2-S8</t>
        </is>
      </c>
      <c r="D25" s="35" t="inlineStr">
        <is>
          <t>Màn đăng nhập/đăng ký web, trạng thái lỗi rõ ràng</t>
        </is>
      </c>
      <c r="E25" s="34" t="inlineStr">
        <is>
          <t>S1</t>
        </is>
      </c>
      <c r="F25" s="35" t="inlineStr">
        <is>
          <t>Web</t>
        </is>
      </c>
      <c r="G25" s="34" t="n">
        <v>5</v>
      </c>
      <c r="H25" s="34" t="inlineStr">
        <is>
          <t>MUST</t>
        </is>
      </c>
      <c r="I25" s="34" t="inlineStr">
        <is>
          <t>Một phần</t>
        </is>
      </c>
      <c r="J25" s="35" t="inlineStr">
        <is>
          <t>Màn đăng nhập/đăng ký web có; thiếu nhánh lỗi 429, locale đang viết cứng "en" (auth-form.tsx:85).</t>
        </is>
      </c>
      <c r="K25" s="35" t="inlineStr">
        <is>
          <t>Kiểm tra code 18/09/2026</t>
        </is>
      </c>
      <c r="L25" s="35" t="n"/>
      <c r="M25" s="35" t="n"/>
    </row>
    <row r="26" ht="34" customHeight="1">
      <c r="A26" s="34" t="n">
        <v>21</v>
      </c>
      <c r="B26" s="35" t="inlineStr">
        <is>
          <t>Story</t>
        </is>
      </c>
      <c r="C26" s="36" t="inlineStr">
        <is>
          <t>E2-S9</t>
        </is>
      </c>
      <c r="D26" s="35" t="inlineStr">
        <is>
          <t>Giữ phiên trên mobile, token trong secure storage</t>
        </is>
      </c>
      <c r="E26" s="34" t="inlineStr">
        <is>
          <t>S1</t>
        </is>
      </c>
      <c r="F26" s="35" t="inlineStr">
        <is>
          <t>Mobile</t>
        </is>
      </c>
      <c r="G26" s="34" t="n">
        <v>8</v>
      </c>
      <c r="H26" s="34" t="inlineStr">
        <is>
          <t>MUST</t>
        </is>
      </c>
      <c r="I26" s="34" t="inlineStr">
        <is>
          <t>Bị chặn</t>
        </is>
      </c>
      <c r="J26" s="35" t="inlineStr">
        <is>
          <t>Refresh token chỉ trả qua cookie httpOnly; phải chốt cơ chế cho mobile trước khi code.</t>
        </is>
      </c>
      <c r="K26" s="35" t="inlineStr">
        <is>
          <t>Kiểm tra code 18/09/2026</t>
        </is>
      </c>
      <c r="L26" s="35" t="n"/>
      <c r="M26" s="35" t="n"/>
    </row>
    <row r="27" ht="34" customHeight="1">
      <c r="A27" s="34" t="n">
        <v>22</v>
      </c>
      <c r="B27" s="35" t="inlineStr">
        <is>
          <t>Story</t>
        </is>
      </c>
      <c r="C27" s="36" t="inlineStr">
        <is>
          <t>E2-S10</t>
        </is>
      </c>
      <c r="D27" s="35" t="inlineStr">
        <is>
          <t>Rate limit endpoint xác thực, chặn dò mật khẩu</t>
        </is>
      </c>
      <c r="E27" s="34" t="inlineStr">
        <is>
          <t>S1</t>
        </is>
      </c>
      <c r="F27" s="35" t="inlineStr">
        <is>
          <t>Backend</t>
        </is>
      </c>
      <c r="G27" s="34" t="n">
        <v>3</v>
      </c>
      <c r="H27" s="34" t="inlineStr">
        <is>
          <t>MUST</t>
        </is>
      </c>
      <c r="I27" s="34" t="inlineStr">
        <is>
          <t>Chưa làm</t>
        </is>
      </c>
      <c r="J27" s="35" t="inlineStr">
        <is>
          <t>Chưa có rate limit; Redis đã chạy trong compose nhưng chưa nối client.</t>
        </is>
      </c>
      <c r="K27" s="35" t="inlineStr">
        <is>
          <t>Kiểm tra code 18/09/2026</t>
        </is>
      </c>
      <c r="L27" s="35" t="n"/>
      <c r="M27" s="35" t="n"/>
    </row>
    <row r="28" ht="34" customHeight="1">
      <c r="A28" s="34" t="n">
        <v>23</v>
      </c>
      <c r="B28" s="35" t="inlineStr">
        <is>
          <t>Story</t>
        </is>
      </c>
      <c r="C28" s="36" t="inlineStr">
        <is>
          <t>E1-S9</t>
        </is>
      </c>
      <c r="D28" s="35" t="inlineStr">
        <is>
          <t>Sentry + log tập trung</t>
        </is>
      </c>
      <c r="E28" s="34" t="inlineStr">
        <is>
          <t>S1</t>
        </is>
      </c>
      <c r="F28" s="35" t="inlineStr">
        <is>
          <t>Backend</t>
        </is>
      </c>
      <c r="G28" s="34" t="n">
        <v>3</v>
      </c>
      <c r="H28" s="34" t="inlineStr">
        <is>
          <t>MUST</t>
        </is>
      </c>
      <c r="I28" s="34" t="inlineStr">
        <is>
          <t>Chưa làm</t>
        </is>
      </c>
      <c r="J28" s="35" t="inlineStr">
        <is>
          <t>Chưa có Sentry / log tập trung.</t>
        </is>
      </c>
      <c r="K28" s="35" t="inlineStr">
        <is>
          <t>Kiểm tra code 18/09/2026</t>
        </is>
      </c>
      <c r="L28" s="35" t="n"/>
      <c r="M28" s="35" t="n"/>
    </row>
    <row r="29" ht="79" customHeight="1">
      <c r="A29" s="37" t="n">
        <v>24</v>
      </c>
      <c r="B29" s="38" t="inlineStr">
        <is>
          <t>DoD bổ sung</t>
        </is>
      </c>
      <c r="C29" s="39" t="inlineStr">
        <is>
          <t>S1-DoD-1</t>
        </is>
      </c>
      <c r="D29" s="38" t="inlineStr">
        <is>
          <t>Migration tạo cột users.role kiểu enum đúng 5 giá trị chữ thường: member, curator, moderator, admin, super_admin. Mặc định member. Không có giá trị guest, organizer, verified_member, support trong enum — kiểm tra bằng một test đọc pg_enum và so khớp đúng 5 phần tử</t>
        </is>
      </c>
      <c r="E29" s="37" t="inlineStr">
        <is>
          <t>S1</t>
        </is>
      </c>
      <c r="F29" s="38" t="inlineStr"/>
      <c r="G29" s="37" t="inlineStr"/>
      <c r="H29" s="37" t="inlineStr"/>
      <c r="I29" s="37" t="inlineStr">
        <is>
          <t>Một phần</t>
        </is>
      </c>
      <c r="J29" s="38" t="inlineStr">
        <is>
          <t>Enum đúng 5 giá trị; chưa có test đọc pg_enum.</t>
        </is>
      </c>
      <c r="K29" s="38" t="inlineStr">
        <is>
          <t>Doc 08 §6</t>
        </is>
      </c>
      <c r="L29" s="38" t="n"/>
      <c r="M29" s="38" t="n"/>
    </row>
    <row r="30" ht="49" customHeight="1">
      <c r="A30" s="37" t="n">
        <v>25</v>
      </c>
      <c r="B30" s="38" t="inlineStr">
        <is>
          <t>DoD bổ sung</t>
        </is>
      </c>
      <c r="C30" s="39" t="inlineStr">
        <is>
          <t>S1-DoD-2</t>
        </is>
      </c>
      <c r="D30" s="38" t="inlineStr">
        <is>
          <t>Migration tạo cột users.trust_level kiểu smallint, CHECK (trust_level BETWEEN 0 AND 5), mặc định 0</t>
        </is>
      </c>
      <c r="E30" s="37" t="inlineStr">
        <is>
          <t>S1</t>
        </is>
      </c>
      <c r="F30" s="38" t="inlineStr"/>
      <c r="G30" s="37" t="inlineStr"/>
      <c r="H30" s="37" t="inlineStr"/>
      <c r="I30" s="37" t="inlineStr">
        <is>
          <t>Một phần</t>
        </is>
      </c>
      <c r="J30" s="38" t="inlineStr">
        <is>
          <t>Cột có; đăng ký đang cấp thẳng T1 (TRUST_LEVEL_ON_REGISTER), phải về 0 khi có xác minh email.</t>
        </is>
      </c>
      <c r="K30" s="38" t="inlineStr">
        <is>
          <t>Doc 08 §6</t>
        </is>
      </c>
      <c r="L30" s="38" t="n"/>
      <c r="M30" s="38" t="n"/>
    </row>
    <row r="31" ht="34" customHeight="1">
      <c r="A31" s="37" t="n">
        <v>26</v>
      </c>
      <c r="B31" s="38" t="inlineStr">
        <is>
          <t>DoD bổ sung</t>
        </is>
      </c>
      <c r="C31" s="39" t="inlineStr">
        <is>
          <t>S1-DoD-3</t>
        </is>
      </c>
      <c r="D31" s="38" t="inlineStr">
        <is>
          <t>Bảng trust_signals đã tạo (append-only), có REVOKE UPDATE, DELETE cho vai trò ứng dụng</t>
        </is>
      </c>
      <c r="E31" s="37" t="inlineStr">
        <is>
          <t>S1</t>
        </is>
      </c>
      <c r="F31" s="38" t="inlineStr"/>
      <c r="G31" s="37" t="inlineStr"/>
      <c r="H31" s="37" t="inlineStr"/>
      <c r="I31" s="37" t="inlineStr">
        <is>
          <t>Chưa làm</t>
        </is>
      </c>
      <c r="J31" s="38" t="inlineStr">
        <is>
          <t>DDL đầy đủ đã có ở doc 03 §4.5, chỉ còn viết migration.</t>
        </is>
      </c>
      <c r="K31" s="38" t="inlineStr">
        <is>
          <t>Doc 08 §6</t>
        </is>
      </c>
      <c r="L31" s="38" t="n"/>
      <c r="M31" s="38" t="n"/>
    </row>
    <row r="32" ht="34" customHeight="1">
      <c r="A32" s="37" t="n">
        <v>27</v>
      </c>
      <c r="B32" s="38" t="inlineStr">
        <is>
          <t>DoD bổ sung</t>
        </is>
      </c>
      <c r="C32" s="39" t="inlineStr">
        <is>
          <t>S1-DoD-4</t>
        </is>
      </c>
      <c r="D32" s="38" t="inlineStr">
        <is>
          <t>Test e2e luồng tái sử dụng refresh token: dùng lại token đã xoay → toàn bộ họ token của thiết bị đó bị thu hồi, trả 401</t>
        </is>
      </c>
      <c r="E32" s="37" t="inlineStr">
        <is>
          <t>S1</t>
        </is>
      </c>
      <c r="F32" s="38" t="inlineStr"/>
      <c r="G32" s="37" t="inlineStr"/>
      <c r="H32" s="37" t="inlineStr"/>
      <c r="I32" s="37" t="inlineStr">
        <is>
          <t>Xong</t>
        </is>
      </c>
      <c r="J32" s="38" t="inlineStr">
        <is>
          <t>auth.e2e.spec.ts:323.</t>
        </is>
      </c>
      <c r="K32" s="38" t="inlineStr">
        <is>
          <t>Doc 08 §6</t>
        </is>
      </c>
      <c r="L32" s="38" t="n"/>
      <c r="M32" s="38" t="n"/>
    </row>
    <row r="33" ht="34" customHeight="1">
      <c r="A33" s="37" t="n">
        <v>28</v>
      </c>
      <c r="B33" s="38" t="inlineStr">
        <is>
          <t>DoD bổ sung</t>
        </is>
      </c>
      <c r="C33" s="39" t="inlineStr">
        <is>
          <t>S1-DoD-5</t>
        </is>
      </c>
      <c r="D33" s="38" t="inlineStr">
        <is>
          <t>Test guard: member gọi endpoint chỉ dành cho moderator → 403, không phải 404 và không phải 500</t>
        </is>
      </c>
      <c r="E33" s="37" t="inlineStr">
        <is>
          <t>S1</t>
        </is>
      </c>
      <c r="F33" s="38" t="inlineStr"/>
      <c r="G33" s="37" t="inlineStr"/>
      <c r="H33" s="37" t="inlineStr"/>
      <c r="I33" s="37" t="inlineStr">
        <is>
          <t>Chưa làm</t>
        </is>
      </c>
      <c r="J33" s="38" t="inlineStr">
        <is>
          <t>Chưa có RolesGuard.</t>
        </is>
      </c>
      <c r="K33" s="38" t="inlineStr">
        <is>
          <t>Doc 08 §6</t>
        </is>
      </c>
      <c r="L33" s="38" t="n"/>
      <c r="M33" s="38" t="n"/>
    </row>
    <row r="34" ht="34" customHeight="1">
      <c r="A34" s="37" t="n">
        <v>29</v>
      </c>
      <c r="B34" s="38" t="inlineStr">
        <is>
          <t>DoD bổ sung</t>
        </is>
      </c>
      <c r="C34" s="39" t="inlineStr">
        <is>
          <t>S1-DoD-6</t>
        </is>
      </c>
      <c r="D34" s="38" t="inlineStr">
        <is>
          <t>Đăng nhập Apple chạy thật trên thiết bị iOS thật, không phải simulator</t>
        </is>
      </c>
      <c r="E34" s="37" t="inlineStr">
        <is>
          <t>S1</t>
        </is>
      </c>
      <c r="F34" s="38" t="inlineStr"/>
      <c r="G34" s="37" t="inlineStr"/>
      <c r="H34" s="37" t="inlineStr"/>
      <c r="I34" s="37" t="inlineStr">
        <is>
          <t>Bị chặn</t>
        </is>
      </c>
      <c r="J34" s="38" t="inlineStr">
        <is>
          <t>Chờ khung Expo + tài khoản Apple Developer.</t>
        </is>
      </c>
      <c r="K34" s="38" t="inlineStr">
        <is>
          <t>Doc 08 §6</t>
        </is>
      </c>
      <c r="L34" s="38" t="n"/>
      <c r="M34" s="38" t="n"/>
    </row>
    <row r="35" ht="34" customHeight="1">
      <c r="A35" s="37" t="n">
        <v>30</v>
      </c>
      <c r="B35" s="38" t="inlineStr">
        <is>
          <t>DoD bổ sung</t>
        </is>
      </c>
      <c r="C35" s="39" t="inlineStr">
        <is>
          <t>S1-DoD-7</t>
        </is>
      </c>
      <c r="D35" s="38" t="inlineStr">
        <is>
          <t>Rate limit: 10 lần đăng nhập sai/IP/15 phút → 429 có header Retry-After</t>
        </is>
      </c>
      <c r="E35" s="37" t="inlineStr">
        <is>
          <t>S1</t>
        </is>
      </c>
      <c r="F35" s="38" t="inlineStr"/>
      <c r="G35" s="37" t="inlineStr"/>
      <c r="H35" s="37" t="inlineStr"/>
      <c r="I35" s="37" t="inlineStr">
        <is>
          <t>Chưa làm</t>
        </is>
      </c>
      <c r="J35" s="38" t="inlineStr"/>
      <c r="K35" s="38" t="inlineStr">
        <is>
          <t>Doc 08 §6</t>
        </is>
      </c>
      <c r="L35" s="38" t="n"/>
      <c r="M35" s="38" t="n"/>
    </row>
    <row r="36" ht="34" customHeight="1">
      <c r="A36" s="37" t="n">
        <v>31</v>
      </c>
      <c r="B36" s="38" t="inlineStr">
        <is>
          <t>DoD bổ sung</t>
        </is>
      </c>
      <c r="C36" s="39" t="inlineStr">
        <is>
          <t>S1-DoD-8</t>
        </is>
      </c>
      <c r="D36" s="38" t="inlineStr">
        <is>
          <t>Sổ đăng ký xử lý dữ liệu cá nhân đã có 3 dòng đầu: email, mật khẩu băm, định danh nhà cung cấp social</t>
        </is>
      </c>
      <c r="E36" s="37" t="inlineStr">
        <is>
          <t>S1</t>
        </is>
      </c>
      <c r="F36" s="38" t="inlineStr"/>
      <c r="G36" s="37" t="inlineStr"/>
      <c r="H36" s="37" t="inlineStr"/>
      <c r="I36" s="37" t="inlineStr">
        <is>
          <t>Chưa làm</t>
        </is>
      </c>
      <c r="J36" s="38" t="inlineStr">
        <is>
          <t>Phụ thuộc DoD S0 sổ đăng ký.</t>
        </is>
      </c>
      <c r="K36" s="38" t="inlineStr">
        <is>
          <t>Doc 08 §6</t>
        </is>
      </c>
      <c r="L36" s="38" t="n"/>
      <c r="M36" s="38" t="n"/>
    </row>
    <row r="37" ht="49" customHeight="1">
      <c r="A37" s="40" t="n">
        <v>32</v>
      </c>
      <c r="B37" s="41" t="inlineStr">
        <is>
          <t>Nghiệm thu</t>
        </is>
      </c>
      <c r="C37" s="42" t="inlineStr">
        <is>
          <t>M1-1</t>
        </is>
      </c>
      <c r="D37" s="41" t="inlineStr">
        <is>
          <t>Đăng ký + xác minh email chạy end-to-end trên web và mobile</t>
        </is>
      </c>
      <c r="E37" s="40" t="inlineStr"/>
      <c r="F37" s="41" t="inlineStr"/>
      <c r="G37" s="40" t="inlineStr"/>
      <c r="H37" s="40" t="inlineStr"/>
      <c r="I37" s="40" t="inlineStr">
        <is>
          <t>Một phần</t>
        </is>
      </c>
      <c r="J37" s="41" t="inlineStr">
        <is>
          <t>Web có đăng ký nhưng chưa có xác minh email; mobile chưa có. Bằng chứng: Video 2 nền tảng</t>
        </is>
      </c>
      <c r="K37" s="41" t="inlineStr">
        <is>
          <t>Doc 08 §7</t>
        </is>
      </c>
      <c r="L37" s="41" t="n"/>
      <c r="M37" s="41" t="n"/>
    </row>
    <row r="38" ht="34" customHeight="1">
      <c r="A38" s="40" t="n">
        <v>33</v>
      </c>
      <c r="B38" s="41" t="inlineStr">
        <is>
          <t>Nghiệm thu</t>
        </is>
      </c>
      <c r="C38" s="42" t="inlineStr">
        <is>
          <t>M1-2</t>
        </is>
      </c>
      <c r="D38" s="41" t="inlineStr">
        <is>
          <t>Đăng nhập Google và Apple chạy trên thiết bị thật, không phải simulator</t>
        </is>
      </c>
      <c r="E38" s="40" t="inlineStr"/>
      <c r="F38" s="41" t="inlineStr"/>
      <c r="G38" s="40" t="inlineStr"/>
      <c r="H38" s="40" t="inlineStr"/>
      <c r="I38" s="40" t="inlineStr">
        <is>
          <t>Bị chặn</t>
        </is>
      </c>
      <c r="J38" s="41" t="inlineStr">
        <is>
          <t>Bằng chứng: Video thiết bị</t>
        </is>
      </c>
      <c r="K38" s="41" t="inlineStr">
        <is>
          <t>Doc 08 §7</t>
        </is>
      </c>
      <c r="L38" s="41" t="n"/>
      <c r="M38" s="41" t="n"/>
    </row>
    <row r="39" ht="34" customHeight="1">
      <c r="A39" s="40" t="n">
        <v>34</v>
      </c>
      <c r="B39" s="41" t="inlineStr">
        <is>
          <t>Nghiệm thu</t>
        </is>
      </c>
      <c r="C39" s="42" t="inlineStr">
        <is>
          <t>M1-3</t>
        </is>
      </c>
      <c r="D39" s="41" t="inlineStr">
        <is>
          <t>Refresh token rotation có test e2e, gồm ca tái sử dụng token đã xoay → thu hồi cả họ</t>
        </is>
      </c>
      <c r="E39" s="40" t="inlineStr"/>
      <c r="F39" s="41" t="inlineStr"/>
      <c r="G39" s="40" t="inlineStr"/>
      <c r="H39" s="40" t="inlineStr"/>
      <c r="I39" s="40" t="inlineStr">
        <is>
          <t>Xong</t>
        </is>
      </c>
      <c r="J39" s="41" t="inlineStr">
        <is>
          <t>Bằng chứng: Báo cáo test</t>
        </is>
      </c>
      <c r="K39" s="41" t="inlineStr">
        <is>
          <t>Doc 08 §7</t>
        </is>
      </c>
      <c r="L39" s="41" t="n"/>
      <c r="M39" s="41" t="n"/>
    </row>
    <row r="40" ht="49" customHeight="1">
      <c r="A40" s="40" t="n">
        <v>35</v>
      </c>
      <c r="B40" s="41" t="inlineStr">
        <is>
          <t>Nghiệm thu</t>
        </is>
      </c>
      <c r="C40" s="42" t="inlineStr">
        <is>
          <t>M1-4</t>
        </is>
      </c>
      <c r="D40" s="41" t="inlineStr">
        <is>
          <t>users.role là enum đúng 5 giá trị member/curator/moderator/admin/super_admin; không có guest, organizer, verified_member, support</t>
        </is>
      </c>
      <c r="E40" s="40" t="inlineStr"/>
      <c r="F40" s="41" t="inlineStr"/>
      <c r="G40" s="40" t="inlineStr"/>
      <c r="H40" s="40" t="inlineStr"/>
      <c r="I40" s="40" t="inlineStr">
        <is>
          <t>Một phần</t>
        </is>
      </c>
      <c r="J40" s="41" t="inlineStr">
        <is>
          <t>Thiếu test pg_enum. Bằng chứng: Test đọc pg_enum</t>
        </is>
      </c>
      <c r="K40" s="41" t="inlineStr">
        <is>
          <t>Doc 08 §7</t>
        </is>
      </c>
      <c r="L40" s="41" t="n"/>
      <c r="M40" s="41" t="n"/>
    </row>
    <row r="41" ht="19" customHeight="1">
      <c r="A41" s="40" t="n">
        <v>36</v>
      </c>
      <c r="B41" s="41" t="inlineStr">
        <is>
          <t>Nghiệm thu</t>
        </is>
      </c>
      <c r="C41" s="42" t="inlineStr">
        <is>
          <t>M1-5</t>
        </is>
      </c>
      <c r="D41" s="41" t="inlineStr">
        <is>
          <t>Guard RBAC chặn đúng: member gọi endpoint moderator → 403</t>
        </is>
      </c>
      <c r="E41" s="40" t="inlineStr"/>
      <c r="F41" s="41" t="inlineStr"/>
      <c r="G41" s="40" t="inlineStr"/>
      <c r="H41" s="40" t="inlineStr"/>
      <c r="I41" s="40" t="inlineStr">
        <is>
          <t>Chưa làm</t>
        </is>
      </c>
      <c r="J41" s="41" t="inlineStr">
        <is>
          <t>Bằng chứng: Test e2e</t>
        </is>
      </c>
      <c r="K41" s="41" t="inlineStr">
        <is>
          <t>Doc 08 §7</t>
        </is>
      </c>
      <c r="L41" s="41" t="n"/>
      <c r="M41" s="41" t="n"/>
    </row>
    <row r="42" ht="34" customHeight="1">
      <c r="A42" s="40" t="n">
        <v>37</v>
      </c>
      <c r="B42" s="41" t="inlineStr">
        <is>
          <t>Nghiệm thu</t>
        </is>
      </c>
      <c r="C42" s="42" t="inlineStr">
        <is>
          <t>M1-6</t>
        </is>
      </c>
      <c r="D42" s="41" t="inlineStr">
        <is>
          <t>users.trust_level smallint 0–5 đã có, mặc định 0; bảng trust_signals append-only đã có</t>
        </is>
      </c>
      <c r="E42" s="40" t="inlineStr"/>
      <c r="F42" s="41" t="inlineStr"/>
      <c r="G42" s="40" t="inlineStr"/>
      <c r="H42" s="40" t="inlineStr"/>
      <c r="I42" s="40" t="inlineStr">
        <is>
          <t>Một phần</t>
        </is>
      </c>
      <c r="J42" s="41" t="inlineStr">
        <is>
          <t>trust_signals chưa có. Bằng chứng: Migration + kiểm tra quyền</t>
        </is>
      </c>
      <c r="K42" s="41" t="inlineStr">
        <is>
          <t>Doc 08 §7</t>
        </is>
      </c>
      <c r="L42" s="41" t="n"/>
      <c r="M42" s="41" t="n"/>
    </row>
    <row r="43" ht="34" customHeight="1">
      <c r="A43" s="40" t="n">
        <v>38</v>
      </c>
      <c r="B43" s="41" t="inlineStr">
        <is>
          <t>Nghiệm thu</t>
        </is>
      </c>
      <c r="C43" s="42" t="inlineStr">
        <is>
          <t>M1-7</t>
        </is>
      </c>
      <c r="D43" s="41" t="inlineStr">
        <is>
          <t>Rate limit endpoint xác thực hoạt động, trả 429 có Retry-After</t>
        </is>
      </c>
      <c r="E43" s="40" t="inlineStr"/>
      <c r="F43" s="41" t="inlineStr"/>
      <c r="G43" s="40" t="inlineStr"/>
      <c r="H43" s="40" t="inlineStr"/>
      <c r="I43" s="40" t="inlineStr">
        <is>
          <t>Chưa làm</t>
        </is>
      </c>
      <c r="J43" s="41" t="inlineStr">
        <is>
          <t>Bằng chứng: Kịch bản test</t>
        </is>
      </c>
      <c r="K43" s="41" t="inlineStr">
        <is>
          <t>Doc 08 §7</t>
        </is>
      </c>
      <c r="L43" s="41" t="n"/>
      <c r="M43" s="41" t="n"/>
    </row>
    <row r="44" ht="19" customHeight="1">
      <c r="A44" s="40" t="n">
        <v>39</v>
      </c>
      <c r="B44" s="41" t="inlineStr">
        <is>
          <t>Nghiệm thu</t>
        </is>
      </c>
      <c r="C44" s="42" t="inlineStr">
        <is>
          <t>M1-8</t>
        </is>
      </c>
      <c r="D44" s="41" t="inlineStr">
        <is>
          <t>Sổ đăng ký hoạt động xử lý dữ liệu cá nhân đã mở, có ≥ 3 mục</t>
        </is>
      </c>
      <c r="E44" s="40" t="inlineStr"/>
      <c r="F44" s="41" t="inlineStr"/>
      <c r="G44" s="40" t="inlineStr"/>
      <c r="H44" s="40" t="inlineStr"/>
      <c r="I44" s="40" t="inlineStr">
        <is>
          <t>Chưa làm</t>
        </is>
      </c>
      <c r="J44" s="41" t="inlineStr">
        <is>
          <t>Bằng chứng: File sổ đăng ký</t>
        </is>
      </c>
      <c r="K44" s="41" t="inlineStr">
        <is>
          <t>Doc 08 §7</t>
        </is>
      </c>
      <c r="L44" s="41" t="n"/>
      <c r="M44" s="41" t="n"/>
    </row>
    <row r="45" ht="34" customHeight="1">
      <c r="A45" s="43" t="n">
        <v>40</v>
      </c>
      <c r="B45" s="44" t="inlineStr">
        <is>
          <t>Demo</t>
        </is>
      </c>
      <c r="C45" s="45" t="inlineStr">
        <is>
          <t>S1-Demo-1</t>
        </is>
      </c>
      <c r="D45" s="44" t="inlineStr">
        <is>
          <t>Trên web: đăng ký bằng email thật → nhận mail xác minh → bấm xác minh → vào được khu vực đã đăng nhập</t>
        </is>
      </c>
      <c r="E45" s="43" t="inlineStr">
        <is>
          <t>S1</t>
        </is>
      </c>
      <c r="F45" s="44" t="inlineStr"/>
      <c r="G45" s="43" t="inlineStr"/>
      <c r="H45" s="43" t="inlineStr"/>
      <c r="I45" s="43" t="inlineStr">
        <is>
          <t>Chưa làm</t>
        </is>
      </c>
      <c r="J45" s="44" t="inlineStr"/>
      <c r="K45" s="44" t="inlineStr">
        <is>
          <t>Doc 08 §6</t>
        </is>
      </c>
      <c r="L45" s="44" t="n"/>
      <c r="M45" s="44" t="n"/>
    </row>
    <row r="46" ht="34" customHeight="1">
      <c r="A46" s="43" t="n">
        <v>41</v>
      </c>
      <c r="B46" s="44" t="inlineStr">
        <is>
          <t>Demo</t>
        </is>
      </c>
      <c r="C46" s="45" t="inlineStr">
        <is>
          <t>S1-Demo-2</t>
        </is>
      </c>
      <c r="D46" s="44" t="inlineStr">
        <is>
          <t>Trên iPhone thật: đăng nhập bằng Apple ID → đóng app hoàn toàn → mở lại sau 10 phút → vẫn đăng nhập</t>
        </is>
      </c>
      <c r="E46" s="43" t="inlineStr">
        <is>
          <t>S1</t>
        </is>
      </c>
      <c r="F46" s="44" t="inlineStr"/>
      <c r="G46" s="43" t="inlineStr"/>
      <c r="H46" s="43" t="inlineStr"/>
      <c r="I46" s="43" t="inlineStr">
        <is>
          <t>Chưa làm</t>
        </is>
      </c>
      <c r="J46" s="44" t="inlineStr"/>
      <c r="K46" s="44" t="inlineStr">
        <is>
          <t>Doc 08 §6</t>
        </is>
      </c>
      <c r="L46" s="44" t="n"/>
      <c r="M46" s="44" t="n"/>
    </row>
    <row r="47" ht="19" customHeight="1">
      <c r="A47" s="43" t="n">
        <v>42</v>
      </c>
      <c r="B47" s="44" t="inlineStr">
        <is>
          <t>Demo</t>
        </is>
      </c>
      <c r="C47" s="45" t="inlineStr">
        <is>
          <t>S1-Demo-3</t>
        </is>
      </c>
      <c r="D47" s="44" t="inlineStr">
        <is>
          <t>Trên Android thật: đăng nhập Google một chạm</t>
        </is>
      </c>
      <c r="E47" s="43" t="inlineStr">
        <is>
          <t>S1</t>
        </is>
      </c>
      <c r="F47" s="44" t="inlineStr"/>
      <c r="G47" s="43" t="inlineStr"/>
      <c r="H47" s="43" t="inlineStr"/>
      <c r="I47" s="43" t="inlineStr">
        <is>
          <t>Chưa làm</t>
        </is>
      </c>
      <c r="J47" s="44" t="inlineStr"/>
      <c r="K47" s="44" t="inlineStr">
        <is>
          <t>Doc 08 §6</t>
        </is>
      </c>
      <c r="L47" s="44" t="n"/>
      <c r="M47" s="44" t="n"/>
    </row>
    <row r="48" ht="34" customHeight="1">
      <c r="A48" s="43" t="n">
        <v>43</v>
      </c>
      <c r="B48" s="44" t="inlineStr">
        <is>
          <t>Demo</t>
        </is>
      </c>
      <c r="C48" s="45" t="inlineStr">
        <is>
          <t>S1-Demo-4</t>
        </is>
      </c>
      <c r="D48" s="44" t="inlineStr">
        <is>
          <t>Demo bảo mật: lấy refresh token cũ trong Postman gọi lại → cả họ token bị thu hồi, thiết bị bị đá ra</t>
        </is>
      </c>
      <c r="E48" s="43" t="inlineStr">
        <is>
          <t>S1</t>
        </is>
      </c>
      <c r="F48" s="44" t="inlineStr"/>
      <c r="G48" s="43" t="inlineStr"/>
      <c r="H48" s="43" t="inlineStr"/>
      <c r="I48" s="43" t="inlineStr">
        <is>
          <t>Chưa làm</t>
        </is>
      </c>
      <c r="J48" s="44" t="inlineStr"/>
      <c r="K48" s="44" t="inlineStr">
        <is>
          <t>Doc 08 §6</t>
        </is>
      </c>
      <c r="L48" s="44" t="n"/>
      <c r="M48" s="44" t="n"/>
    </row>
    <row r="49" ht="49" customHeight="1">
      <c r="A49" s="43" t="n">
        <v>44</v>
      </c>
      <c r="B49" s="44" t="inlineStr">
        <is>
          <t>Demo</t>
        </is>
      </c>
      <c r="C49" s="45" t="inlineStr">
        <is>
          <t>S1-Demo-5</t>
        </is>
      </c>
      <c r="D49" s="44" t="inlineStr">
        <is>
          <t>Demo RBAC: đổi role của tài khoản demo trong DB từ member sang moderator → endpoint kiểm duyệt mở ra ngay lần gọi kế tiếp</t>
        </is>
      </c>
      <c r="E49" s="43" t="inlineStr">
        <is>
          <t>S1</t>
        </is>
      </c>
      <c r="F49" s="44" t="inlineStr"/>
      <c r="G49" s="43" t="inlineStr"/>
      <c r="H49" s="43" t="inlineStr"/>
      <c r="I49" s="43" t="inlineStr">
        <is>
          <t>Chưa làm</t>
        </is>
      </c>
      <c r="J49" s="44" t="inlineStr"/>
      <c r="K49" s="44" t="inlineStr">
        <is>
          <t>Doc 08 §6</t>
        </is>
      </c>
      <c r="L49" s="44" t="n"/>
      <c r="M49" s="44" t="n"/>
    </row>
    <row r="50" ht="49" customHeight="1">
      <c r="A50" s="46" t="n">
        <v>45</v>
      </c>
      <c r="B50" s="47" t="inlineStr">
        <is>
          <t>Việc ngoài SP</t>
        </is>
      </c>
      <c r="C50" s="48" t="inlineStr">
        <is>
          <t>S1-Ops-0</t>
        </is>
      </c>
      <c r="D50" s="47" t="inlineStr">
        <is>
          <t>theo dõi hồ sơ D-U-N-S; nếu quá 14 ngày chưa có kết quả thì mở ticket với Dun &amp; Bradstreet — đây là ngưỡng cảnh báo đường găng đầu tiên.</t>
        </is>
      </c>
      <c r="E50" s="46" t="inlineStr">
        <is>
          <t>S1</t>
        </is>
      </c>
      <c r="F50" s="47" t="inlineStr">
        <is>
          <t>Founder / Community Manager</t>
        </is>
      </c>
      <c r="G50" s="46" t="inlineStr"/>
      <c r="H50" s="46" t="inlineStr"/>
      <c r="I50" s="46" t="inlineStr">
        <is>
          <t>Chưa xác nhận</t>
        </is>
      </c>
      <c r="J50" s="47" t="inlineStr"/>
      <c r="K50" s="47" t="inlineStr">
        <is>
          <t>Doc 08 §6</t>
        </is>
      </c>
      <c r="L50" s="47" t="n"/>
      <c r="M50" s="47" t="n"/>
    </row>
    <row r="51" ht="64" customHeight="1">
      <c r="A51" s="49" t="n">
        <v>46</v>
      </c>
      <c r="B51" s="50" t="inlineStr">
        <is>
          <t>Bổ sung từ mockup</t>
        </is>
      </c>
      <c r="C51" s="51" t="inlineStr">
        <is>
          <t>MK-AUTH-01</t>
        </is>
      </c>
      <c r="D51" s="50" t="inlineStr">
        <is>
          <t>Chốt form đăng ký theo UC-01: 3 trường, mật khẩu ≥ 10 ký tự + 4 điều kiện, 2 ô đồng ý tách riêng không tích sẵn, không báo "email đã tồn tại". Code hiện có trường handle, mật khẩu ≥ 12, trả EMAIL_TAKEN.</t>
        </is>
      </c>
      <c r="E51" s="49" t="inlineStr"/>
      <c r="F51" s="50" t="inlineStr">
        <is>
          <t>BA</t>
        </is>
      </c>
      <c r="G51" s="49" t="inlineStr"/>
      <c r="H51" s="49" t="inlineStr"/>
      <c r="I51" s="49" t="inlineStr">
        <is>
          <t>Cần chốt</t>
        </is>
      </c>
      <c r="J51" s="50" t="inlineStr"/>
      <c r="K51" s="50" t="inlineStr">
        <is>
          <t>Mockup ① signup · Doc 02 UC-01</t>
        </is>
      </c>
      <c r="L51" s="50" t="n"/>
      <c r="M51" s="50" t="n"/>
    </row>
    <row r="52" ht="64" customHeight="1">
      <c r="A52" s="49" t="n">
        <v>47</v>
      </c>
      <c r="B52" s="50" t="inlineStr">
        <is>
          <t>Bổ sung từ mockup</t>
        </is>
      </c>
      <c r="C52" s="51" t="inlineStr">
        <is>
          <t>MK-AUTH-02</t>
        </is>
      </c>
      <c r="D52" s="50" t="inlineStr">
        <is>
          <t>Màn "Check your inbox": mã 6 số, gửi lại sau 60 giây (tối đa 5 lần / 24 giờ), đổi email 1 lần, khoá 15 phút sau 5 lần sai; trang link thành công / hết hạn / đã dùng / mở trên máy khác.</t>
        </is>
      </c>
      <c r="E52" s="49" t="inlineStr"/>
      <c r="F52" s="50" t="inlineStr">
        <is>
          <t>Web + Backend</t>
        </is>
      </c>
      <c r="G52" s="49" t="inlineStr"/>
      <c r="H52" s="49" t="inlineStr"/>
      <c r="I52" s="49" t="inlineStr">
        <is>
          <t>Chưa làm</t>
        </is>
      </c>
      <c r="J52" s="50" t="inlineStr"/>
      <c r="K52" s="50" t="inlineStr">
        <is>
          <t>Mockup ① verify, link-* · Doc 02 UC-02</t>
        </is>
      </c>
      <c r="L52" s="50" t="n"/>
      <c r="M52" s="50" t="n"/>
    </row>
    <row r="53" ht="34" customHeight="1">
      <c r="A53" s="49" t="n">
        <v>48</v>
      </c>
      <c r="B53" s="50" t="inlineStr">
        <is>
          <t>Bổ sung từ mockup</t>
        </is>
      </c>
      <c r="C53" s="51" t="inlineStr">
        <is>
          <t>MK-AUTH-03</t>
        </is>
      </c>
      <c r="D53" s="50" t="inlineStr">
        <is>
          <t>Đặt lại mật khẩu: màn gửi mail trung tính (không lộ email), đăng xuất mọi phiên khác sau khi đổi.</t>
        </is>
      </c>
      <c r="E53" s="49" t="inlineStr"/>
      <c r="F53" s="50" t="inlineStr">
        <is>
          <t>Web + Backend</t>
        </is>
      </c>
      <c r="G53" s="49" t="inlineStr"/>
      <c r="H53" s="49" t="inlineStr"/>
      <c r="I53" s="49" t="inlineStr">
        <is>
          <t>Chưa làm</t>
        </is>
      </c>
      <c r="J53" s="50" t="inlineStr"/>
      <c r="K53" s="50" t="inlineStr">
        <is>
          <t>Mockup ① forgot, reset · Doc 02 UC-06</t>
        </is>
      </c>
      <c r="L53" s="50" t="n"/>
      <c r="M53" s="50" t="n"/>
    </row>
    <row r="54" ht="34" customHeight="1">
      <c r="A54" s="49" t="n">
        <v>49</v>
      </c>
      <c r="B54" s="50" t="inlineStr">
        <is>
          <t>Bổ sung từ mockup</t>
        </is>
      </c>
      <c r="C54" s="51" t="inlineStr">
        <is>
          <t>MK-AUTH-04</t>
        </is>
      </c>
      <c r="D54" s="50" t="inlineStr">
        <is>
          <t>Social login: màn "email này đã có tài khoản — đăng nhập để liên kết", không tự hợp nhất.</t>
        </is>
      </c>
      <c r="E54" s="49" t="inlineStr"/>
      <c r="F54" s="50" t="inlineStr">
        <is>
          <t>Web + Mobile + Backend</t>
        </is>
      </c>
      <c r="G54" s="49" t="inlineStr"/>
      <c r="H54" s="49" t="inlineStr"/>
      <c r="I54" s="49" t="inlineStr">
        <is>
          <t>Chưa làm</t>
        </is>
      </c>
      <c r="J54" s="50" t="inlineStr"/>
      <c r="K54" s="50" t="inlineStr">
        <is>
          <t>Mockup ① social-link · Doc 02 UC-04</t>
        </is>
      </c>
      <c r="L54" s="50" t="n"/>
      <c r="M54" s="50" t="n"/>
    </row>
  </sheetData>
  <autoFilter ref="A5:M54"/>
  <mergeCells count="4">
    <mergeCell ref="A4:B4"/>
    <mergeCell ref="A3:M3"/>
    <mergeCell ref="A2:M2"/>
    <mergeCell ref="A1:M1"/>
  </mergeCells>
  <conditionalFormatting sqref="I6:I84">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onditionalFormatting>
  <dataValidations count="1">
    <dataValidation sqref="I6:I84" showDropDown="0" showInputMessage="0" showErrorMessage="1" allowBlank="1" errorTitle="Trạng thái không hợp lệ" error="Chọn một trong: Xong, Một phần, Chưa làm, Bị chặn, Cần chốt, Chưa xác nhận" type="list">
      <formula1>"Xong,Một phần,Chưa làm,Bị chặn,Cần chốt,Chưa xác nhận"</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0369A1"/>
    <outlinePr summaryBelow="1" summaryRight="1"/>
    <pageSetUpPr fitToPage="1"/>
  </sheetPr>
  <dimension ref="A1:M73"/>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8" t="inlineStr">
        <is>
          <t>M2 · Tạo &amp; khám phá sự kiện — chốt 30/10/2026 · Sprint S2, S3</t>
        </is>
      </c>
    </row>
    <row r="2" ht="32" customHeight="1">
      <c r="A2" s="19" t="inlineStr">
        <is>
          <t>Mục tiêu: S2 — Sự kiện lõi (05/10 – 16/10/2026): Một organizer thật đăng được một hoạt động thật lên staging, có ảnh bìa, có toạ độ đúng khu vực, và sự kiện đó sinh ra đúng một event_occurrences.
S3 — Khám phá hyperlocal &amp; Bản đồ (19/10 – 30/10/2026): Một expat mở web, chọn "An Thượng · cuối tuần này · thể thao" và thấy đúng những gì đang có; link sự kiện dán lên Facebook hiện ảnh và mô tả đẹp.</t>
        </is>
      </c>
    </row>
    <row r="3" ht="18" customHeight="1">
      <c r="A3" s="20" t="inlineStr">
        <is>
          <t>Nếu trượt: M2 đã có sẵn cơ chế ba nấc (§6.7). Nếu nấc 1 (web) trượt quá 1 tuần thì đây là điều kiện dừng cấp 1 — dừng nhận story mới, họp lại phạm vi trong 48 giờ, cân nhắc đòn bẩy 1 (thuê Mobile hợp đồng) hoặc rơi sang §10.</t>
        </is>
      </c>
    </row>
    <row r="4" ht="20" customHeight="1">
      <c r="A4" s="21" t="inlineStr">
        <is>
          <t>Tiến độ</t>
        </is>
      </c>
      <c r="B4" s="22" t="n"/>
      <c r="C4" s="22">
        <f>COUNTA($C$6:$C$400)&amp;" mục"</f>
        <v/>
      </c>
      <c r="D4" s="23">
        <f>"Xong: "&amp;COUNTIF($I$6:$I$400,"Xong")</f>
        <v/>
      </c>
      <c r="E4" s="24">
        <f>"Một phần: "&amp;COUNTIF($I$6:$I$400,"Một phần")</f>
        <v/>
      </c>
      <c r="F4" s="25">
        <f>"Chưa làm: "&amp;COUNTIF($I$6:$I$400,"Chưa làm")</f>
        <v/>
      </c>
      <c r="G4" s="26">
        <f>"Bị chặn: "&amp;COUNTIF($I$6:$I$400,"Bị chặn")</f>
        <v/>
      </c>
      <c r="H4" s="27">
        <f>"Cần chốt: "&amp;COUNTIF($I$6:$I$400,"Cần chốt")</f>
        <v/>
      </c>
      <c r="I4" s="28">
        <f>"Chưa xác nhận: "&amp;COUNTIF($I$6:$I$400,"Chưa xác nhận")</f>
        <v/>
      </c>
      <c r="J4" s="29">
        <f>"Tỷ lệ xong: "&amp;TEXT(IFERROR(COUNTIF($I$6:$I$400,"Xong")/COUNTA($C$6:$C$400),0),"0%")</f>
        <v/>
      </c>
      <c r="K4" s="22" t="n"/>
      <c r="L4" s="22" t="n"/>
      <c r="M4" s="22"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64" customHeight="1">
      <c r="A6" s="30" t="n">
        <v>1</v>
      </c>
      <c r="B6" s="31" t="inlineStr">
        <is>
          <t>Việc chặn &amp; cần chốt</t>
        </is>
      </c>
      <c r="C6" s="32" t="inlineStr">
        <is>
          <t>DEC-HOME-DISCOVER</t>
        </is>
      </c>
      <c r="D6" s="33" t="inlineStr">
        <is>
          <t>Tách Trang chủ (tin tức + sự kiện do staff đăng) và Discover (sự kiện do thành viên đăng). Cập nhật doc 10 §3 và doc 14 J2; quyết định số phận composer / bài đăng cộng đồng đang ở "/" (module post).</t>
        </is>
      </c>
      <c r="E6" s="30" t="inlineStr"/>
      <c r="F6" s="33" t="inlineStr">
        <is>
          <t>BA + Tech Lead</t>
        </is>
      </c>
      <c r="G6" s="30" t="inlineStr"/>
      <c r="H6" s="30" t="inlineStr"/>
      <c r="I6" s="30" t="inlineStr">
        <is>
          <t>Cần chốt</t>
        </is>
      </c>
      <c r="J6" s="33" t="inlineStr">
        <is>
          <t>Quyết định của chủ dự án 19/09; lệch tài liệu hiện hành.</t>
        </is>
      </c>
      <c r="K6" s="33" t="inlineStr">
        <is>
          <t>Mockup ② home, discover</t>
        </is>
      </c>
      <c r="L6" s="33" t="n"/>
      <c r="M6" s="33" t="n"/>
    </row>
    <row r="7" ht="49" customHeight="1">
      <c r="A7" s="30" t="n">
        <v>2</v>
      </c>
      <c r="B7" s="31" t="inlineStr">
        <is>
          <t>Việc chặn &amp; cần chốt</t>
        </is>
      </c>
      <c r="C7" s="32" t="inlineStr">
        <is>
          <t>DEC-SWIPE</t>
        </is>
      </c>
      <c r="D7" s="33" t="inlineStr">
        <is>
          <t>Chế độ lướt kiểu Tinder trong Discover: bật ngay từ MVP hay giữ cổng G1 (≥ 40 sự kiện mở / 7 ngày) + G2 (≥ 12 thẻ hợp lệ / người) theo doc 14 §8.</t>
        </is>
      </c>
      <c r="E7" s="30" t="inlineStr"/>
      <c r="F7" s="33" t="inlineStr">
        <is>
          <t>Product Owner</t>
        </is>
      </c>
      <c r="G7" s="30" t="inlineStr"/>
      <c r="H7" s="30" t="inlineStr"/>
      <c r="I7" s="30" t="inlineStr">
        <is>
          <t>Cần chốt</t>
        </is>
      </c>
      <c r="J7" s="33" t="inlineStr">
        <is>
          <t>Doc 14 khuyến nghị sớm nhất M4–M5.</t>
        </is>
      </c>
      <c r="K7" s="33" t="inlineStr">
        <is>
          <t>Mockup ⑤ deck · Doc 14 §7–8</t>
        </is>
      </c>
      <c r="L7" s="33" t="n"/>
      <c r="M7" s="33" t="n"/>
    </row>
    <row r="8" ht="34" customHeight="1">
      <c r="A8" s="30" t="n">
        <v>3</v>
      </c>
      <c r="B8" s="31" t="inlineStr">
        <is>
          <t>Việc chặn &amp; cần chốt</t>
        </is>
      </c>
      <c r="C8" s="32" t="inlineStr">
        <is>
          <t>DEC-ONBOARDING</t>
        </is>
      </c>
      <c r="D8" s="33" t="inlineStr">
        <is>
          <t>Onboarding theo UC-05 (6 khu vực, bước 3 là ngôn ngữ) thay cho F-02 doc 10 (12 khu vực, bước 3 là expat_type).</t>
        </is>
      </c>
      <c r="E8" s="30" t="inlineStr"/>
      <c r="F8" s="33" t="inlineStr">
        <is>
          <t>BA</t>
        </is>
      </c>
      <c r="G8" s="30" t="inlineStr"/>
      <c r="H8" s="30" t="inlineStr"/>
      <c r="I8" s="30" t="inlineStr">
        <is>
          <t>Cần chốt</t>
        </is>
      </c>
      <c r="J8" s="33" t="inlineStr"/>
      <c r="K8" s="33" t="inlineStr">
        <is>
          <t>Mockup ① onb-1…3</t>
        </is>
      </c>
      <c r="L8" s="33" t="n"/>
      <c r="M8" s="33" t="n"/>
    </row>
    <row r="9" ht="34" customHeight="1">
      <c r="A9" s="30" t="n">
        <v>4</v>
      </c>
      <c r="B9" s="31" t="inlineStr">
        <is>
          <t>Việc chặn &amp; cần chốt</t>
        </is>
      </c>
      <c r="C9" s="32" t="inlineStr">
        <is>
          <t>DEC-WEEKSTART</t>
        </is>
      </c>
      <c r="D9" s="33" t="inlineStr">
        <is>
          <t>Ngày đầu tuần cho bộ lọc "Tuần này": Thứ Hai cho cả EN/VI hay theo ngôn ngữ.</t>
        </is>
      </c>
      <c r="E9" s="30" t="inlineStr"/>
      <c r="F9" s="33" t="inlineStr">
        <is>
          <t>BA</t>
        </is>
      </c>
      <c r="G9" s="30" t="inlineStr"/>
      <c r="H9" s="30" t="inlineStr"/>
      <c r="I9" s="30" t="inlineStr">
        <is>
          <t>Cần chốt</t>
        </is>
      </c>
      <c r="J9" s="33" t="inlineStr">
        <is>
          <t>Mockup Trang chủ dùng Thứ Hai; lịch Discover đổi theo ngôn ngữ.</t>
        </is>
      </c>
      <c r="K9" s="33" t="inlineStr">
        <is>
          <t>Mockup ② home, calendar</t>
        </is>
      </c>
      <c r="L9" s="33" t="n"/>
      <c r="M9" s="33" t="n"/>
    </row>
    <row r="10" ht="34" customHeight="1">
      <c r="A10" s="30" t="n">
        <v>5</v>
      </c>
      <c r="B10" s="31" t="inlineStr">
        <is>
          <t>Việc chặn &amp; cần chốt</t>
        </is>
      </c>
      <c r="C10" s="32" t="inlineStr">
        <is>
          <t>DEC-TOKENS</t>
        </is>
      </c>
      <c r="D10" s="33" t="inlineStr">
        <is>
          <t>Design token: doc 10 §12 (teal #0E7C74 + Inter) hay code (xanh #0EA5E9 + Be Vietnam Pro).</t>
        </is>
      </c>
      <c r="E10" s="30" t="inlineStr"/>
      <c r="F10" s="33" t="inlineStr">
        <is>
          <t>Tech Lead + Designer</t>
        </is>
      </c>
      <c r="G10" s="30" t="inlineStr"/>
      <c r="H10" s="30" t="inlineStr"/>
      <c r="I10" s="30" t="inlineStr">
        <is>
          <t>Cần chốt</t>
        </is>
      </c>
      <c r="J10" s="33" t="inlineStr">
        <is>
          <t>Mockup theo code.</t>
        </is>
      </c>
      <c r="K10" s="33" t="inlineStr">
        <is>
          <t>Doc 10 §12 · Doc 14 §8.0</t>
        </is>
      </c>
      <c r="L10" s="33" t="n"/>
      <c r="M10" s="33" t="n"/>
    </row>
    <row r="11" ht="49" customHeight="1">
      <c r="A11" s="34" t="n">
        <v>6</v>
      </c>
      <c r="B11" s="35" t="inlineStr">
        <is>
          <t>Story</t>
        </is>
      </c>
      <c r="C11" s="36" t="inlineStr">
        <is>
          <t>E4-S1</t>
        </is>
      </c>
      <c r="D11" s="35" t="inlineStr">
        <is>
          <t>Mô hình dữ liệu sự kiện + PostGIS + areas</t>
        </is>
      </c>
      <c r="E11" s="34" t="inlineStr">
        <is>
          <t>S2</t>
        </is>
      </c>
      <c r="F11" s="35" t="inlineStr">
        <is>
          <t>Backend</t>
        </is>
      </c>
      <c r="G11" s="34" t="n">
        <v>8</v>
      </c>
      <c r="H11" s="34" t="inlineStr">
        <is>
          <t>MUST</t>
        </is>
      </c>
      <c r="I11" s="34" t="inlineStr">
        <is>
          <t>Một phần</t>
        </is>
      </c>
      <c r="J11" s="35" t="inlineStr">
        <is>
          <t>Module event + PostGIS + bảng areas đã có. Theo ghi chú phiên 01–02/09, chưa kiểm chứng lại bằng code.</t>
        </is>
      </c>
      <c r="K11" s="35" t="inlineStr">
        <is>
          <t>Theo ghi chú phiên 01–02/09, chưa kiểm chứng lại bằng code</t>
        </is>
      </c>
      <c r="L11" s="35" t="n"/>
      <c r="M11" s="35" t="n"/>
    </row>
    <row r="12" ht="49" customHeight="1">
      <c r="A12" s="34" t="n">
        <v>7</v>
      </c>
      <c r="B12" s="35" t="inlineStr">
        <is>
          <t>Story</t>
        </is>
      </c>
      <c r="C12" s="36" t="inlineStr">
        <is>
          <t>E4-S2</t>
        </is>
      </c>
      <c r="D12" s="35" t="inlineStr">
        <is>
          <t>API tạo hoạt động: nháp → đăng</t>
        </is>
      </c>
      <c r="E12" s="34" t="inlineStr">
        <is>
          <t>S2</t>
        </is>
      </c>
      <c r="F12" s="35" t="inlineStr">
        <is>
          <t>Backend</t>
        </is>
      </c>
      <c r="G12" s="34" t="n">
        <v>8</v>
      </c>
      <c r="H12" s="34" t="inlineStr">
        <is>
          <t>MUST</t>
        </is>
      </c>
      <c r="I12" s="34" t="inlineStr">
        <is>
          <t>Một phần</t>
        </is>
      </c>
      <c r="J12" s="35" t="inlineStr">
        <is>
          <t>Tạo và đăng sự kiện chạy end-to-end trên web. Theo ghi chú phiên 01–02/09, chưa kiểm chứng lại bằng code.</t>
        </is>
      </c>
      <c r="K12" s="35" t="inlineStr">
        <is>
          <t>Theo ghi chú phiên 01–02/09, chưa kiểm chứng lại bằng code</t>
        </is>
      </c>
      <c r="L12" s="35" t="n"/>
      <c r="M12" s="35" t="n"/>
    </row>
    <row r="13" ht="49" customHeight="1">
      <c r="A13" s="34" t="n">
        <v>8</v>
      </c>
      <c r="B13" s="35" t="inlineStr">
        <is>
          <t>Story</t>
        </is>
      </c>
      <c r="C13" s="36" t="inlineStr">
        <is>
          <t>E4-S3</t>
        </is>
      </c>
      <c r="D13" s="35" t="inlineStr">
        <is>
          <t>API sửa / huỷ hoạt động</t>
        </is>
      </c>
      <c r="E13" s="34" t="inlineStr">
        <is>
          <t>S2</t>
        </is>
      </c>
      <c r="F13" s="35" t="inlineStr">
        <is>
          <t>Backend</t>
        </is>
      </c>
      <c r="G13" s="34" t="n">
        <v>5</v>
      </c>
      <c r="H13" s="34" t="inlineStr">
        <is>
          <t>MUST</t>
        </is>
      </c>
      <c r="I13" s="34" t="inlineStr">
        <is>
          <t>Một phần</t>
        </is>
      </c>
      <c r="J13" s="35" t="inlineStr">
        <is>
          <t>API sự kiện CRUD đầy đủ. Theo ghi chú phiên 01–02/09, chưa kiểm chứng lại bằng code.</t>
        </is>
      </c>
      <c r="K13" s="35" t="inlineStr">
        <is>
          <t>Theo ghi chú phiên 01–02/09, chưa kiểm chứng lại bằng code</t>
        </is>
      </c>
      <c r="L13" s="35" t="n"/>
      <c r="M13" s="35" t="n"/>
    </row>
    <row r="14" ht="49" customHeight="1">
      <c r="A14" s="34" t="n">
        <v>9</v>
      </c>
      <c r="B14" s="35" t="inlineStr">
        <is>
          <t>Story</t>
        </is>
      </c>
      <c r="C14" s="36" t="inlineStr">
        <is>
          <t>E4-S4</t>
        </is>
      </c>
      <c r="D14" s="35" t="inlineStr">
        <is>
          <t>Ảnh bìa + ảnh minh hoạ</t>
        </is>
      </c>
      <c r="E14" s="34" t="inlineStr">
        <is>
          <t>S2</t>
        </is>
      </c>
      <c r="F14" s="35" t="inlineStr">
        <is>
          <t>Backend</t>
        </is>
      </c>
      <c r="G14" s="34" t="n">
        <v>5</v>
      </c>
      <c r="H14" s="34" t="inlineStr">
        <is>
          <t>MUST</t>
        </is>
      </c>
      <c r="I14" s="34" t="inlineStr">
        <is>
          <t>Một phần</t>
        </is>
      </c>
      <c r="J14" s="35" t="inlineStr">
        <is>
          <t>Module media + MinIO đã có. Theo ghi chú phiên 01–02/09, chưa kiểm chứng lại bằng code.</t>
        </is>
      </c>
      <c r="K14" s="35" t="inlineStr">
        <is>
          <t>Theo ghi chú phiên 01–02/09, chưa kiểm chứng lại bằng code</t>
        </is>
      </c>
      <c r="L14" s="35" t="n"/>
      <c r="M14" s="35" t="n"/>
    </row>
    <row r="15" ht="49" customHeight="1">
      <c r="A15" s="34" t="n">
        <v>10</v>
      </c>
      <c r="B15" s="35" t="inlineStr">
        <is>
          <t>Story</t>
        </is>
      </c>
      <c r="C15" s="36" t="inlineStr">
        <is>
          <t>E4-S6</t>
        </is>
      </c>
      <c r="D15" s="35" t="inlineStr">
        <is>
          <t>Form tạo hoạt động nhiều bước trên web, tự lưu nháp, xem trước</t>
        </is>
      </c>
      <c r="E15" s="34" t="inlineStr">
        <is>
          <t>S2</t>
        </is>
      </c>
      <c r="F15" s="35" t="inlineStr">
        <is>
          <t>Web</t>
        </is>
      </c>
      <c r="G15" s="34" t="n">
        <v>13</v>
      </c>
      <c r="H15" s="34" t="inlineStr">
        <is>
          <t>MUST</t>
        </is>
      </c>
      <c r="I15" s="34" t="inlineStr">
        <is>
          <t>Một phần</t>
        </is>
      </c>
      <c r="J15" s="35" t="inlineStr">
        <is>
          <t>Web đang dùng một form đơn; doc yêu cầu wizard 4 bước + tự lưu nháp + xem trước (mockup ③ create-1…4).</t>
        </is>
      </c>
      <c r="K15" s="35" t="inlineStr">
        <is>
          <t>Theo ghi chú phiên 01–02/09, chưa kiểm chứng lại bằng code</t>
        </is>
      </c>
      <c r="L15" s="35" t="n"/>
      <c r="M15" s="35" t="n"/>
    </row>
    <row r="16" ht="49" customHeight="1">
      <c r="A16" s="34" t="n">
        <v>11</v>
      </c>
      <c r="B16" s="35" t="inlineStr">
        <is>
          <t>Story</t>
        </is>
      </c>
      <c r="C16" s="36" t="inlineStr">
        <is>
          <t>E3-S1</t>
        </is>
      </c>
      <c r="D16" s="35" t="inlineStr">
        <is>
          <t>Tạo hồ sơ: ảnh, giới thiệu, ngôn ngữ, khu vực, sở thích</t>
        </is>
      </c>
      <c r="E16" s="34" t="inlineStr">
        <is>
          <t>S2</t>
        </is>
      </c>
      <c r="F16" s="35" t="inlineStr">
        <is>
          <t>Backend</t>
        </is>
      </c>
      <c r="G16" s="34" t="n">
        <v>8</v>
      </c>
      <c r="H16" s="34" t="inlineStr">
        <is>
          <t>MUST</t>
        </is>
      </c>
      <c r="I16" s="34" t="inlineStr">
        <is>
          <t>Một phần</t>
        </is>
      </c>
      <c r="J16" s="35" t="inlineStr">
        <is>
          <t>Module profile + profile-editor đã có; chưa có onboarding 3 bước.</t>
        </is>
      </c>
      <c r="K16" s="35" t="inlineStr">
        <is>
          <t>Theo ghi chú phiên 01–02/09, chưa kiểm chứng lại bằng code</t>
        </is>
      </c>
      <c r="L16" s="35" t="n"/>
      <c r="M16" s="35" t="n"/>
    </row>
    <row r="17" ht="49" customHeight="1">
      <c r="A17" s="34" t="n">
        <v>12</v>
      </c>
      <c r="B17" s="35" t="inlineStr">
        <is>
          <t>Story</t>
        </is>
      </c>
      <c r="C17" s="36" t="inlineStr">
        <is>
          <t>E3-S2</t>
        </is>
      </c>
      <c r="D17" s="35" t="inlineStr">
        <is>
          <t>Tải ảnh nhanh + phục vụ qua CDN</t>
        </is>
      </c>
      <c r="E17" s="34" t="inlineStr">
        <is>
          <t>S2</t>
        </is>
      </c>
      <c r="F17" s="35" t="inlineStr">
        <is>
          <t>Backend</t>
        </is>
      </c>
      <c r="G17" s="34" t="n">
        <v>8</v>
      </c>
      <c r="H17" s="34" t="inlineStr">
        <is>
          <t>MUST</t>
        </is>
      </c>
      <c r="I17" s="34" t="inlineStr">
        <is>
          <t>Một phần</t>
        </is>
      </c>
      <c r="J17" s="35" t="inlineStr">
        <is>
          <t>Upload lên MinIO có tiến độ; chưa có CDN.</t>
        </is>
      </c>
      <c r="K17" s="35" t="inlineStr">
        <is>
          <t>Theo ghi chú phiên 01–02/09, chưa kiểm chứng lại bằng code</t>
        </is>
      </c>
      <c r="L17" s="35" t="n"/>
      <c r="M17" s="35" t="n"/>
    </row>
    <row r="18" ht="49" customHeight="1">
      <c r="A18" s="34" t="n">
        <v>13</v>
      </c>
      <c r="B18" s="35" t="inlineStr">
        <is>
          <t>Story</t>
        </is>
      </c>
      <c r="C18" s="36" t="inlineStr">
        <is>
          <t>E5-S1</t>
        </is>
      </c>
      <c r="D18" s="35" t="inlineStr">
        <is>
          <t>Từ điển khu vực Đà Nẵng có ranh giới thật</t>
        </is>
      </c>
      <c r="E18" s="34" t="inlineStr">
        <is>
          <t>S2</t>
        </is>
      </c>
      <c r="F18" s="35" t="inlineStr">
        <is>
          <t>Backend + Product Owner</t>
        </is>
      </c>
      <c r="G18" s="34" t="n">
        <v>5</v>
      </c>
      <c r="H18" s="34" t="inlineStr">
        <is>
          <t>MUST</t>
        </is>
      </c>
      <c r="I18" s="34" t="inlineStr">
        <is>
          <t>Một phần</t>
        </is>
      </c>
      <c r="J18" s="35" t="inlineStr">
        <is>
          <t>Seed 6 khu vực + polygon trong packages/geo; ranh giới thật chưa được Product ký duyệt.</t>
        </is>
      </c>
      <c r="K18" s="35" t="inlineStr">
        <is>
          <t>Theo ghi chú phiên 01–02/09, chưa kiểm chứng lại bằng code</t>
        </is>
      </c>
      <c r="L18" s="35" t="n"/>
      <c r="M18" s="35" t="n"/>
    </row>
    <row r="19" ht="19" customHeight="1">
      <c r="A19" s="34" t="n">
        <v>14</v>
      </c>
      <c r="B19" s="35" t="inlineStr">
        <is>
          <t>Story</t>
        </is>
      </c>
      <c r="C19" s="36" t="inlineStr">
        <is>
          <t>E2-S5</t>
        </is>
      </c>
      <c r="D19" s="35" t="inlineStr">
        <is>
          <t>Đăng nhập Facebook</t>
        </is>
      </c>
      <c r="E19" s="34" t="inlineStr">
        <is>
          <t>S2</t>
        </is>
      </c>
      <c r="F19" s="35" t="inlineStr">
        <is>
          <t>Backend</t>
        </is>
      </c>
      <c r="G19" s="34" t="n">
        <v>3</v>
      </c>
      <c r="H19" s="34" t="inlineStr">
        <is>
          <t>SHOULD</t>
        </is>
      </c>
      <c r="I19" s="34" t="inlineStr">
        <is>
          <t>Chưa làm</t>
        </is>
      </c>
      <c r="J19" s="35" t="inlineStr"/>
      <c r="K19" s="35" t="inlineStr">
        <is>
          <t>Doc 08 §6</t>
        </is>
      </c>
      <c r="L19" s="35" t="n"/>
      <c r="M19" s="35" t="n"/>
    </row>
    <row r="20" ht="49" customHeight="1">
      <c r="A20" s="34" t="n">
        <v>15</v>
      </c>
      <c r="B20" s="35" t="inlineStr">
        <is>
          <t>Story</t>
        </is>
      </c>
      <c r="C20" s="36" t="inlineStr">
        <is>
          <t>E1-S10</t>
        </is>
      </c>
      <c r="D20" s="35" t="inlineStr">
        <is>
          <t>Công tắc đổi ngôn ngữ EN ↔ VI trên web + mobile</t>
        </is>
      </c>
      <c r="E20" s="34" t="inlineStr">
        <is>
          <t>S2</t>
        </is>
      </c>
      <c r="F20" s="35" t="inlineStr">
        <is>
          <t>Web + Mobile</t>
        </is>
      </c>
      <c r="G20" s="34" t="n">
        <v>5</v>
      </c>
      <c r="H20" s="34" t="inlineStr">
        <is>
          <t>MUST</t>
        </is>
      </c>
      <c r="I20" s="34" t="inlineStr">
        <is>
          <t>Một phần</t>
        </is>
      </c>
      <c r="J20" s="35" t="inlineStr">
        <is>
          <t>Web có công tắc EN/VI; mobile chưa có app.</t>
        </is>
      </c>
      <c r="K20" s="35" t="inlineStr">
        <is>
          <t>Theo ghi chú phiên 01–02/09, chưa kiểm chứng lại bằng code</t>
        </is>
      </c>
      <c r="L20" s="35" t="n"/>
      <c r="M20" s="35" t="n"/>
    </row>
    <row r="21" ht="19" customHeight="1">
      <c r="A21" s="34" t="n">
        <v>16</v>
      </c>
      <c r="B21" s="35" t="inlineStr">
        <is>
          <t>Story</t>
        </is>
      </c>
      <c r="C21" s="36" t="inlineStr">
        <is>
          <t>E5-S2</t>
        </is>
      </c>
      <c r="D21" s="35" t="inlineStr">
        <is>
          <t>API lọc: loại hình, khu vực, thời gian, ngôn ngữ, mức phí</t>
        </is>
      </c>
      <c r="E21" s="34" t="inlineStr">
        <is>
          <t>S3</t>
        </is>
      </c>
      <c r="F21" s="35" t="inlineStr">
        <is>
          <t>Backend</t>
        </is>
      </c>
      <c r="G21" s="34" t="n">
        <v>13</v>
      </c>
      <c r="H21" s="34" t="inlineStr">
        <is>
          <t>MUST</t>
        </is>
      </c>
      <c r="I21" s="34" t="inlineStr">
        <is>
          <t>Chưa làm</t>
        </is>
      </c>
      <c r="J21" s="35" t="inlineStr"/>
      <c r="K21" s="35" t="inlineStr">
        <is>
          <t>Doc 08 §6</t>
        </is>
      </c>
      <c r="L21" s="35" t="n"/>
      <c r="M21" s="35" t="n"/>
    </row>
    <row r="22" ht="49" customHeight="1">
      <c r="A22" s="34" t="n">
        <v>17</v>
      </c>
      <c r="B22" s="35" t="inlineStr">
        <is>
          <t>Story</t>
        </is>
      </c>
      <c r="C22" s="36" t="inlineStr">
        <is>
          <t>E5-S3</t>
        </is>
      </c>
      <c r="D22" s="35" t="inlineStr">
        <is>
          <t>Truy vấn bán kính quanh vị trí người dùng</t>
        </is>
      </c>
      <c r="E22" s="34" t="inlineStr">
        <is>
          <t>S3</t>
        </is>
      </c>
      <c r="F22" s="35" t="inlineStr">
        <is>
          <t>Backend</t>
        </is>
      </c>
      <c r="G22" s="34" t="n">
        <v>8</v>
      </c>
      <c r="H22" s="34" t="inlineStr">
        <is>
          <t>MUST</t>
        </is>
      </c>
      <c r="I22" s="34" t="inlineStr">
        <is>
          <t>Một phần</t>
        </is>
      </c>
      <c r="J22" s="35" t="inlineStr">
        <is>
          <t>Truy vấn bán kính PostGIS có trong module event. Theo ghi chú phiên 01–02/09, chưa kiểm chứng lại bằng code.</t>
        </is>
      </c>
      <c r="K22" s="35" t="inlineStr">
        <is>
          <t>Theo ghi chú phiên 01–02/09, chưa kiểm chứng lại bằng code</t>
        </is>
      </c>
      <c r="L22" s="35" t="n"/>
      <c r="M22" s="35" t="n"/>
    </row>
    <row r="23" ht="19" customHeight="1">
      <c r="A23" s="34" t="n">
        <v>18</v>
      </c>
      <c r="B23" s="35" t="inlineStr">
        <is>
          <t>Story</t>
        </is>
      </c>
      <c r="C23" s="36" t="inlineStr">
        <is>
          <t>E5-S4</t>
        </is>
      </c>
      <c r="D23" s="35" t="inlineStr">
        <is>
          <t>Tìm theo từ khoá ("badminton")</t>
        </is>
      </c>
      <c r="E23" s="34" t="inlineStr">
        <is>
          <t>S3</t>
        </is>
      </c>
      <c r="F23" s="35" t="inlineStr">
        <is>
          <t>Backend</t>
        </is>
      </c>
      <c r="G23" s="34" t="n">
        <v>5</v>
      </c>
      <c r="H23" s="34" t="inlineStr">
        <is>
          <t>MUST</t>
        </is>
      </c>
      <c r="I23" s="34" t="inlineStr">
        <is>
          <t>Chưa làm</t>
        </is>
      </c>
      <c r="J23" s="35" t="inlineStr"/>
      <c r="K23" s="35" t="inlineStr">
        <is>
          <t>Doc 08 §6</t>
        </is>
      </c>
      <c r="L23" s="35" t="n"/>
      <c r="M23" s="35" t="n"/>
    </row>
    <row r="24" ht="19" customHeight="1">
      <c r="A24" s="34" t="n">
        <v>19</v>
      </c>
      <c r="B24" s="35" t="inlineStr">
        <is>
          <t>Story</t>
        </is>
      </c>
      <c r="C24" s="36" t="inlineStr">
        <is>
          <t>E5-S5</t>
        </is>
      </c>
      <c r="D24" s="35" t="inlineStr">
        <is>
          <t>Trang khám phá web: chip lọc, sắp xếp, tải thêm</t>
        </is>
      </c>
      <c r="E24" s="34" t="inlineStr">
        <is>
          <t>S3</t>
        </is>
      </c>
      <c r="F24" s="35" t="inlineStr">
        <is>
          <t>Web</t>
        </is>
      </c>
      <c r="G24" s="34" t="n">
        <v>13</v>
      </c>
      <c r="H24" s="34" t="inlineStr">
        <is>
          <t>MUST</t>
        </is>
      </c>
      <c r="I24" s="34" t="inlineStr">
        <is>
          <t>Chưa làm</t>
        </is>
      </c>
      <c r="J24" s="35" t="inlineStr"/>
      <c r="K24" s="35" t="inlineStr">
        <is>
          <t>Doc 08 §6</t>
        </is>
      </c>
      <c r="L24" s="35" t="n"/>
      <c r="M24" s="35" t="n"/>
    </row>
    <row r="25" ht="19" customHeight="1">
      <c r="A25" s="34" t="n">
        <v>20</v>
      </c>
      <c r="B25" s="35" t="inlineStr">
        <is>
          <t>Story</t>
        </is>
      </c>
      <c r="C25" s="36" t="inlineStr">
        <is>
          <t>E5-S6</t>
        </is>
      </c>
      <c r="D25" s="35" t="inlineStr">
        <is>
          <t>Bản đồ Đà Nẵng, gom cụm điểm theo khu vực</t>
        </is>
      </c>
      <c r="E25" s="34" t="inlineStr">
        <is>
          <t>S3</t>
        </is>
      </c>
      <c r="F25" s="35" t="inlineStr">
        <is>
          <t>Web</t>
        </is>
      </c>
      <c r="G25" s="34" t="n">
        <v>8</v>
      </c>
      <c r="H25" s="34" t="inlineStr">
        <is>
          <t>MUST</t>
        </is>
      </c>
      <c r="I25" s="34" t="inlineStr">
        <is>
          <t>Chưa làm</t>
        </is>
      </c>
      <c r="J25" s="35" t="inlineStr"/>
      <c r="K25" s="35" t="inlineStr">
        <is>
          <t>Doc 08 §6</t>
        </is>
      </c>
      <c r="L25" s="35" t="n"/>
      <c r="M25" s="35" t="n"/>
    </row>
    <row r="26" ht="49" customHeight="1">
      <c r="A26" s="34" t="n">
        <v>21</v>
      </c>
      <c r="B26" s="35" t="inlineStr">
        <is>
          <t>Story</t>
        </is>
      </c>
      <c r="C26" s="36" t="inlineStr">
        <is>
          <t>E4-S8</t>
        </is>
      </c>
      <c r="D26" s="35" t="inlineStr">
        <is>
          <t>Trang chi tiết sự kiện công khai, SEO + OG image</t>
        </is>
      </c>
      <c r="E26" s="34" t="inlineStr">
        <is>
          <t>S3</t>
        </is>
      </c>
      <c r="F26" s="35" t="inlineStr">
        <is>
          <t>Web</t>
        </is>
      </c>
      <c r="G26" s="34" t="n">
        <v>8</v>
      </c>
      <c r="H26" s="34" t="inlineStr">
        <is>
          <t>MUST</t>
        </is>
      </c>
      <c r="I26" s="34" t="inlineStr">
        <is>
          <t>Một phần</t>
        </is>
      </c>
      <c r="J26" s="35" t="inlineStr">
        <is>
          <t>Trang /events/[id] có; chưa kiểm SEO/OG image.</t>
        </is>
      </c>
      <c r="K26" s="35" t="inlineStr">
        <is>
          <t>Theo ghi chú phiên 01–02/09, chưa kiểm chứng lại bằng code</t>
        </is>
      </c>
      <c r="L26" s="35" t="n"/>
      <c r="M26" s="35" t="n"/>
    </row>
    <row r="27" ht="19" customHeight="1">
      <c r="A27" s="34" t="n">
        <v>22</v>
      </c>
      <c r="B27" s="35" t="inlineStr">
        <is>
          <t>Story</t>
        </is>
      </c>
      <c r="C27" s="36" t="inlineStr">
        <is>
          <t>E4-S9</t>
        </is>
      </c>
      <c r="D27" s="35" t="inlineStr">
        <is>
          <t>Màn chi tiết hoạt động trên mobile + deep link chia sẻ</t>
        </is>
      </c>
      <c r="E27" s="34" t="inlineStr">
        <is>
          <t>S3</t>
        </is>
      </c>
      <c r="F27" s="35" t="inlineStr">
        <is>
          <t>Mobile</t>
        </is>
      </c>
      <c r="G27" s="34" t="n">
        <v>8</v>
      </c>
      <c r="H27" s="34" t="inlineStr">
        <is>
          <t>MUST</t>
        </is>
      </c>
      <c r="I27" s="34" t="inlineStr">
        <is>
          <t>Chưa làm</t>
        </is>
      </c>
      <c r="J27" s="35" t="inlineStr"/>
      <c r="K27" s="35" t="inlineStr">
        <is>
          <t>Doc 08 §6</t>
        </is>
      </c>
      <c r="L27" s="35" t="n"/>
      <c r="M27" s="35" t="n"/>
    </row>
    <row r="28" ht="19" customHeight="1">
      <c r="A28" s="34" t="n">
        <v>23</v>
      </c>
      <c r="B28" s="35" t="inlineStr">
        <is>
          <t>Story</t>
        </is>
      </c>
      <c r="C28" s="36" t="inlineStr">
        <is>
          <t>E12-S1</t>
        </is>
      </c>
      <c r="D28" s="35" t="inlineStr">
        <is>
          <t>3 profile EAS Build + versioning tự động</t>
        </is>
      </c>
      <c r="E28" s="34" t="inlineStr">
        <is>
          <t>S3</t>
        </is>
      </c>
      <c r="F28" s="35" t="inlineStr">
        <is>
          <t>Mobile</t>
        </is>
      </c>
      <c r="G28" s="34" t="n">
        <v>5</v>
      </c>
      <c r="H28" s="34" t="inlineStr">
        <is>
          <t>MUST</t>
        </is>
      </c>
      <c r="I28" s="34" t="inlineStr">
        <is>
          <t>Chưa làm</t>
        </is>
      </c>
      <c r="J28" s="35" t="inlineStr"/>
      <c r="K28" s="35" t="inlineStr">
        <is>
          <t>Doc 08 §6</t>
        </is>
      </c>
      <c r="L28" s="35" t="n"/>
      <c r="M28" s="35" t="n"/>
    </row>
    <row r="29" ht="34" customHeight="1">
      <c r="A29" s="37" t="n">
        <v>24</v>
      </c>
      <c r="B29" s="38" t="inlineStr">
        <is>
          <t>DoD bổ sung</t>
        </is>
      </c>
      <c r="C29" s="39" t="inlineStr">
        <is>
          <t>S2-DoD-1</t>
        </is>
      </c>
      <c r="D29" s="38" t="inlineStr">
        <is>
          <t>Cột chủ sự kiện đặt tên đúng events.host_user_id. Chạy grep -rn "creator_id\|organizer_id" apps/api/src phải trả về rỗng</t>
        </is>
      </c>
      <c r="E29" s="37" t="inlineStr">
        <is>
          <t>S2</t>
        </is>
      </c>
      <c r="F29" s="38" t="inlineStr"/>
      <c r="G29" s="37" t="inlineStr"/>
      <c r="H29" s="37" t="inlineStr"/>
      <c r="I29" s="37" t="inlineStr">
        <is>
          <t>Chưa làm</t>
        </is>
      </c>
      <c r="J29" s="38" t="inlineStr"/>
      <c r="K29" s="38" t="inlineStr">
        <is>
          <t>Doc 08 §6</t>
        </is>
      </c>
      <c r="L29" s="38" t="n"/>
      <c r="M29" s="38" t="n"/>
    </row>
    <row r="30" ht="34" customHeight="1">
      <c r="A30" s="37" t="n">
        <v>25</v>
      </c>
      <c r="B30" s="38" t="inlineStr">
        <is>
          <t>DoD bổ sung</t>
        </is>
      </c>
      <c r="C30" s="39" t="inlineStr">
        <is>
          <t>S2-DoD-2</t>
        </is>
      </c>
      <c r="D30" s="38" t="inlineStr">
        <is>
          <t>events.status là enum chữ thường: draft, published, cancelled, completed</t>
        </is>
      </c>
      <c r="E30" s="37" t="inlineStr">
        <is>
          <t>S2</t>
        </is>
      </c>
      <c r="F30" s="38" t="inlineStr"/>
      <c r="G30" s="37" t="inlineStr"/>
      <c r="H30" s="37" t="inlineStr"/>
      <c r="I30" s="37" t="inlineStr">
        <is>
          <t>Chưa làm</t>
        </is>
      </c>
      <c r="J30" s="38" t="inlineStr"/>
      <c r="K30" s="38" t="inlineStr">
        <is>
          <t>Doc 08 §6</t>
        </is>
      </c>
      <c r="L30" s="38" t="n"/>
      <c r="M30" s="38" t="n"/>
    </row>
    <row r="31" ht="64" customHeight="1">
      <c r="A31" s="37" t="n">
        <v>26</v>
      </c>
      <c r="B31" s="38" t="inlineStr">
        <is>
          <t>DoD bổ sung</t>
        </is>
      </c>
      <c r="C31" s="39" t="inlineStr">
        <is>
          <t>S2-DoD-3</t>
        </is>
      </c>
      <c r="D31" s="38" t="inlineStr">
        <is>
          <t>Mọi events được tạo đều sinh tối thiểu 1 dòng event_occurrences — kể cả sự kiện không lặp lại. Có test: tạo sự kiện đơn → SELECT count() FROM event_occurrences WHERE event_id = ? trả về đúng 1</t>
        </is>
      </c>
      <c r="E31" s="37" t="inlineStr">
        <is>
          <t>S2</t>
        </is>
      </c>
      <c r="F31" s="38" t="inlineStr"/>
      <c r="G31" s="37" t="inlineStr"/>
      <c r="H31" s="37" t="inlineStr"/>
      <c r="I31" s="37" t="inlineStr">
        <is>
          <t>Chưa làm</t>
        </is>
      </c>
      <c r="J31" s="38" t="inlineStr"/>
      <c r="K31" s="38" t="inlineStr">
        <is>
          <t>Doc 08 §6</t>
        </is>
      </c>
      <c r="L31" s="38" t="n"/>
      <c r="M31" s="38" t="n"/>
    </row>
    <row r="32" ht="34" customHeight="1">
      <c r="A32" s="37" t="n">
        <v>27</v>
      </c>
      <c r="B32" s="38" t="inlineStr">
        <is>
          <t>DoD bổ sung</t>
        </is>
      </c>
      <c r="C32" s="39" t="inlineStr">
        <is>
          <t>S2-DoD-4</t>
        </is>
      </c>
      <c r="D32" s="38" t="inlineStr">
        <is>
          <t>starts_at / ends_at lưu UTC; form nhập theo Asia/Ho_Chi_Minh và test có ca nhập 23:30 giờ Việt Nam để bắt lỗi lệch ngày</t>
        </is>
      </c>
      <c r="E32" s="37" t="inlineStr">
        <is>
          <t>S2</t>
        </is>
      </c>
      <c r="F32" s="38" t="inlineStr"/>
      <c r="G32" s="37" t="inlineStr"/>
      <c r="H32" s="37" t="inlineStr"/>
      <c r="I32" s="37" t="inlineStr">
        <is>
          <t>Chưa làm</t>
        </is>
      </c>
      <c r="J32" s="38" t="inlineStr"/>
      <c r="K32" s="38" t="inlineStr">
        <is>
          <t>Doc 08 §6</t>
        </is>
      </c>
      <c r="L32" s="38" t="n"/>
      <c r="M32" s="38" t="n"/>
    </row>
    <row r="33" ht="34" customHeight="1">
      <c r="A33" s="37" t="n">
        <v>28</v>
      </c>
      <c r="B33" s="38" t="inlineStr">
        <is>
          <t>DoD bổ sung</t>
        </is>
      </c>
      <c r="C33" s="39" t="inlineStr">
        <is>
          <t>S2-DoD-5</t>
        </is>
      </c>
      <c r="D33" s="38" t="inlineStr">
        <is>
          <t>Index GIST trên events.location đã có; EXPLAIN một truy vấn ST_DWithin cho thấy dùng index</t>
        </is>
      </c>
      <c r="E33" s="37" t="inlineStr">
        <is>
          <t>S2</t>
        </is>
      </c>
      <c r="F33" s="38" t="inlineStr"/>
      <c r="G33" s="37" t="inlineStr"/>
      <c r="H33" s="37" t="inlineStr"/>
      <c r="I33" s="37" t="inlineStr">
        <is>
          <t>Chưa làm</t>
        </is>
      </c>
      <c r="J33" s="38" t="inlineStr"/>
      <c r="K33" s="38" t="inlineStr">
        <is>
          <t>Doc 08 §6</t>
        </is>
      </c>
      <c r="L33" s="38" t="n"/>
      <c r="M33" s="38" t="n"/>
    </row>
    <row r="34" ht="64" customHeight="1">
      <c r="A34" s="37" t="n">
        <v>29</v>
      </c>
      <c r="B34" s="38" t="inlineStr">
        <is>
          <t>DoD bổ sung</t>
        </is>
      </c>
      <c r="C34" s="39" t="inlineStr">
        <is>
          <t>S2-DoD-6</t>
        </is>
      </c>
      <c r="D34" s="38" t="inlineStr">
        <is>
          <t>Bảng areas seed phân cấp đầy đủ, nhưng bộ lọc chỉ phơi ra đúng 6 khu vực MVP: An Thượng, Mỹ Khê, Mỹ An, Hải Châu, Sơn Trà, Ngũ Hành Sơn. Có test kiểm tra endpoint GET /api/v1/areas?mvp=true trả đúng 6 phần tử</t>
        </is>
      </c>
      <c r="E34" s="37" t="inlineStr">
        <is>
          <t>S2</t>
        </is>
      </c>
      <c r="F34" s="38" t="inlineStr"/>
      <c r="G34" s="37" t="inlineStr"/>
      <c r="H34" s="37" t="inlineStr"/>
      <c r="I34" s="37" t="inlineStr">
        <is>
          <t>Chưa làm</t>
        </is>
      </c>
      <c r="J34" s="38" t="inlineStr"/>
      <c r="K34" s="38" t="inlineStr">
        <is>
          <t>Doc 08 §6</t>
        </is>
      </c>
      <c r="L34" s="38" t="n"/>
      <c r="M34" s="38" t="n"/>
    </row>
    <row r="35" ht="19" customHeight="1">
      <c r="A35" s="37" t="n">
        <v>30</v>
      </c>
      <c r="B35" s="38" t="inlineStr">
        <is>
          <t>DoD bổ sung</t>
        </is>
      </c>
      <c r="C35" s="39" t="inlineStr">
        <is>
          <t>S2-DoD-7</t>
        </is>
      </c>
      <c r="D35" s="38" t="inlineStr">
        <is>
          <t>events.source ∈ self_serve | curated, bắt buộc, không null</t>
        </is>
      </c>
      <c r="E35" s="37" t="inlineStr">
        <is>
          <t>S2</t>
        </is>
      </c>
      <c r="F35" s="38" t="inlineStr"/>
      <c r="G35" s="37" t="inlineStr"/>
      <c r="H35" s="37" t="inlineStr"/>
      <c r="I35" s="37" t="inlineStr">
        <is>
          <t>Chưa làm</t>
        </is>
      </c>
      <c r="J35" s="38" t="inlineStr"/>
      <c r="K35" s="38" t="inlineStr">
        <is>
          <t>Doc 08 §6</t>
        </is>
      </c>
      <c r="L35" s="38" t="n"/>
      <c r="M35" s="38" t="n"/>
    </row>
    <row r="36" ht="34" customHeight="1">
      <c r="A36" s="37" t="n">
        <v>31</v>
      </c>
      <c r="B36" s="38" t="inlineStr">
        <is>
          <t>DoD bổ sung</t>
        </is>
      </c>
      <c r="C36" s="39" t="inlineStr">
        <is>
          <t>S2-DoD-8</t>
        </is>
      </c>
      <c r="D36" s="38" t="inlineStr">
        <is>
          <t>Ảnh: giới hạn 8 MB/ảnh, tự nén, sinh 3 kích cỡ, trả qua CDN, thời gian tải ảnh bìa trên 4G mô phỏng &lt; 1,5 giây</t>
        </is>
      </c>
      <c r="E36" s="37" t="inlineStr">
        <is>
          <t>S2</t>
        </is>
      </c>
      <c r="F36" s="38" t="inlineStr"/>
      <c r="G36" s="37" t="inlineStr"/>
      <c r="H36" s="37" t="inlineStr"/>
      <c r="I36" s="37" t="inlineStr">
        <is>
          <t>Chưa làm</t>
        </is>
      </c>
      <c r="J36" s="38" t="inlineStr"/>
      <c r="K36" s="38" t="inlineStr">
        <is>
          <t>Doc 08 §6</t>
        </is>
      </c>
      <c r="L36" s="38" t="n"/>
      <c r="M36" s="38" t="n"/>
    </row>
    <row r="37" ht="34" customHeight="1">
      <c r="A37" s="37" t="n">
        <v>32</v>
      </c>
      <c r="B37" s="38" t="inlineStr">
        <is>
          <t>DoD bổ sung</t>
        </is>
      </c>
      <c r="C37" s="39" t="inlineStr">
        <is>
          <t>S3-DoD-1</t>
        </is>
      </c>
      <c r="D37" s="38" t="inlineStr">
        <is>
          <t>GET /api/v1/events phân trang bằng cursor (starts_at, id), không dùng OFFSET</t>
        </is>
      </c>
      <c r="E37" s="37" t="inlineStr">
        <is>
          <t>S3</t>
        </is>
      </c>
      <c r="F37" s="38" t="inlineStr"/>
      <c r="G37" s="37" t="inlineStr"/>
      <c r="H37" s="37" t="inlineStr"/>
      <c r="I37" s="37" t="inlineStr">
        <is>
          <t>Chưa làm</t>
        </is>
      </c>
      <c r="J37" s="38" t="inlineStr"/>
      <c r="K37" s="38" t="inlineStr">
        <is>
          <t>Doc 08 §6</t>
        </is>
      </c>
      <c r="L37" s="38" t="n"/>
      <c r="M37" s="38" t="n"/>
    </row>
    <row r="38" ht="49" customHeight="1">
      <c r="A38" s="37" t="n">
        <v>33</v>
      </c>
      <c r="B38" s="38" t="inlineStr">
        <is>
          <t>DoD bổ sung</t>
        </is>
      </c>
      <c r="C38" s="39" t="inlineStr">
        <is>
          <t>S3-DoD-2</t>
        </is>
      </c>
      <c r="D38" s="38" t="inlineStr">
        <is>
          <t>Kiểm thử hiệu năng: seed 10.000 sự kiện + 30.000 occurrence, p95 &lt; 200 ms cho truy vấn có đủ 5 điều kiện lọc; kết quả đo dán vào issue</t>
        </is>
      </c>
      <c r="E38" s="37" t="inlineStr">
        <is>
          <t>S3</t>
        </is>
      </c>
      <c r="F38" s="38" t="inlineStr"/>
      <c r="G38" s="37" t="inlineStr"/>
      <c r="H38" s="37" t="inlineStr"/>
      <c r="I38" s="37" t="inlineStr">
        <is>
          <t>Chưa làm</t>
        </is>
      </c>
      <c r="J38" s="38" t="inlineStr"/>
      <c r="K38" s="38" t="inlineStr">
        <is>
          <t>Doc 08 §6</t>
        </is>
      </c>
      <c r="L38" s="38" t="n"/>
      <c r="M38" s="38" t="n"/>
    </row>
    <row r="39" ht="34" customHeight="1">
      <c r="A39" s="37" t="n">
        <v>34</v>
      </c>
      <c r="B39" s="38" t="inlineStr">
        <is>
          <t>DoD bổ sung</t>
        </is>
      </c>
      <c r="C39" s="39" t="inlineStr">
        <is>
          <t>S3-DoD-3</t>
        </is>
      </c>
      <c r="D39" s="38" t="inlineStr">
        <is>
          <t>Trả kèm facets đếm theo category và theo area; chip lọc hiển thị badge số thật, không phải số giả</t>
        </is>
      </c>
      <c r="E39" s="37" t="inlineStr">
        <is>
          <t>S3</t>
        </is>
      </c>
      <c r="F39" s="38" t="inlineStr"/>
      <c r="G39" s="37" t="inlineStr"/>
      <c r="H39" s="37" t="inlineStr"/>
      <c r="I39" s="37" t="inlineStr">
        <is>
          <t>Chưa làm</t>
        </is>
      </c>
      <c r="J39" s="38" t="inlineStr"/>
      <c r="K39" s="38" t="inlineStr">
        <is>
          <t>Doc 08 §6</t>
        </is>
      </c>
      <c r="L39" s="38" t="n"/>
      <c r="M39" s="38" t="n"/>
    </row>
    <row r="40" ht="34" customHeight="1">
      <c r="A40" s="37" t="n">
        <v>35</v>
      </c>
      <c r="B40" s="38" t="inlineStr">
        <is>
          <t>DoD bổ sung</t>
        </is>
      </c>
      <c r="C40" s="39" t="inlineStr">
        <is>
          <t>S3-DoD-4</t>
        </is>
      </c>
      <c r="D40" s="38" t="inlineStr">
        <is>
          <t>Cache Redis TTL 60 giây, có test chứng minh cache bị huỷ khi có sự kiện mới published trong cùng area_id</t>
        </is>
      </c>
      <c r="E40" s="37" t="inlineStr">
        <is>
          <t>S3</t>
        </is>
      </c>
      <c r="F40" s="38" t="inlineStr"/>
      <c r="G40" s="37" t="inlineStr"/>
      <c r="H40" s="37" t="inlineStr"/>
      <c r="I40" s="37" t="inlineStr">
        <is>
          <t>Chưa làm</t>
        </is>
      </c>
      <c r="J40" s="38" t="inlineStr"/>
      <c r="K40" s="38" t="inlineStr">
        <is>
          <t>Doc 08 §6</t>
        </is>
      </c>
      <c r="L40" s="38" t="n"/>
      <c r="M40" s="38" t="n"/>
    </row>
    <row r="41" ht="34" customHeight="1">
      <c r="A41" s="37" t="n">
        <v>36</v>
      </c>
      <c r="B41" s="38" t="inlineStr">
        <is>
          <t>DoD bổ sung</t>
        </is>
      </c>
      <c r="C41" s="39" t="inlineStr">
        <is>
          <t>S3-DoD-5</t>
        </is>
      </c>
      <c r="D41" s="38" t="inlineStr">
        <is>
          <t>Lọc "An Thượng" trả về đúng tập sự kiện nằm trong polygon an-thuong, đối chiếu thủ công 10 sự kiện mẫu</t>
        </is>
      </c>
      <c r="E41" s="37" t="inlineStr">
        <is>
          <t>S3</t>
        </is>
      </c>
      <c r="F41" s="38" t="inlineStr"/>
      <c r="G41" s="37" t="inlineStr"/>
      <c r="H41" s="37" t="inlineStr"/>
      <c r="I41" s="37" t="inlineStr">
        <is>
          <t>Chưa làm</t>
        </is>
      </c>
      <c r="J41" s="38" t="inlineStr"/>
      <c r="K41" s="38" t="inlineStr">
        <is>
          <t>Doc 08 §6</t>
        </is>
      </c>
      <c r="L41" s="38" t="n"/>
      <c r="M41" s="38" t="n"/>
    </row>
    <row r="42" ht="49" customHeight="1">
      <c r="A42" s="37" t="n">
        <v>37</v>
      </c>
      <c r="B42" s="38" t="inlineStr">
        <is>
          <t>DoD bổ sung</t>
        </is>
      </c>
      <c r="C42" s="39" t="inlineStr">
        <is>
          <t>S3-DoD-6</t>
        </is>
      </c>
      <c r="D42" s="38" t="inlineStr">
        <is>
          <t>Trang chi tiết đạt Lighthouse SEO ≥ 95, có og:image sinh động (tiêu đề + ngày + khu vực), đọc được không cần đăng nhập, không cần cài app</t>
        </is>
      </c>
      <c r="E42" s="37" t="inlineStr">
        <is>
          <t>S3</t>
        </is>
      </c>
      <c r="F42" s="38" t="inlineStr"/>
      <c r="G42" s="37" t="inlineStr"/>
      <c r="H42" s="37" t="inlineStr"/>
      <c r="I42" s="37" t="inlineStr">
        <is>
          <t>Chưa làm</t>
        </is>
      </c>
      <c r="J42" s="38" t="inlineStr"/>
      <c r="K42" s="38" t="inlineStr">
        <is>
          <t>Doc 08 §6</t>
        </is>
      </c>
      <c r="L42" s="38" t="n"/>
      <c r="M42" s="38" t="n"/>
    </row>
    <row r="43" ht="34" customHeight="1">
      <c r="A43" s="37" t="n">
        <v>38</v>
      </c>
      <c r="B43" s="38" t="inlineStr">
        <is>
          <t>DoD bổ sung</t>
        </is>
      </c>
      <c r="C43" s="39" t="inlineStr">
        <is>
          <t>S3-DoD-7</t>
        </is>
      </c>
      <c r="D43" s="38" t="inlineStr">
        <is>
          <t>Deep link danangconnect://events/{id} và universal link HTTPS đều mở đúng màn hình trên iOS và Android thật</t>
        </is>
      </c>
      <c r="E43" s="37" t="inlineStr">
        <is>
          <t>S3</t>
        </is>
      </c>
      <c r="F43" s="38" t="inlineStr"/>
      <c r="G43" s="37" t="inlineStr"/>
      <c r="H43" s="37" t="inlineStr"/>
      <c r="I43" s="37" t="inlineStr">
        <is>
          <t>Chưa làm</t>
        </is>
      </c>
      <c r="J43" s="38" t="inlineStr"/>
      <c r="K43" s="38" t="inlineStr">
        <is>
          <t>Doc 08 §6</t>
        </is>
      </c>
      <c r="L43" s="38" t="n"/>
      <c r="M43" s="38" t="n"/>
    </row>
    <row r="44" ht="34" customHeight="1">
      <c r="A44" s="37" t="n">
        <v>39</v>
      </c>
      <c r="B44" s="38" t="inlineStr">
        <is>
          <t>DoD bổ sung</t>
        </is>
      </c>
      <c r="C44" s="39" t="inlineStr">
        <is>
          <t>S3-DoD-8</t>
        </is>
      </c>
      <c r="D44" s="38" t="inlineStr">
        <is>
          <t>Bản đồ: 500 điểm không làm rớt khung hình dưới 45 fps trên máy tầm trung</t>
        </is>
      </c>
      <c r="E44" s="37" t="inlineStr">
        <is>
          <t>S3</t>
        </is>
      </c>
      <c r="F44" s="38" t="inlineStr"/>
      <c r="G44" s="37" t="inlineStr"/>
      <c r="H44" s="37" t="inlineStr"/>
      <c r="I44" s="37" t="inlineStr">
        <is>
          <t>Chưa làm</t>
        </is>
      </c>
      <c r="J44" s="38" t="inlineStr"/>
      <c r="K44" s="38" t="inlineStr">
        <is>
          <t>Doc 08 §6</t>
        </is>
      </c>
      <c r="L44" s="38" t="n"/>
      <c r="M44" s="38" t="n"/>
    </row>
    <row r="45" ht="34" customHeight="1">
      <c r="A45" s="40" t="n">
        <v>40</v>
      </c>
      <c r="B45" s="41" t="inlineStr">
        <is>
          <t>Nghiệm thu</t>
        </is>
      </c>
      <c r="C45" s="42" t="inlineStr">
        <is>
          <t>M2-1</t>
        </is>
      </c>
      <c r="D45" s="41" t="inlineStr">
        <is>
          <t>Tạo, sửa, huỷ hoạt động trên web hoạt động đầy đủ, gồm tự lưu nháp và xem trước</t>
        </is>
      </c>
      <c r="E45" s="40" t="inlineStr"/>
      <c r="F45" s="41" t="inlineStr"/>
      <c r="G45" s="40" t="inlineStr"/>
      <c r="H45" s="40" t="inlineStr"/>
      <c r="I45" s="40" t="inlineStr">
        <is>
          <t>Chưa làm</t>
        </is>
      </c>
      <c r="J45" s="41" t="inlineStr">
        <is>
          <t>Bằng chứng: Video</t>
        </is>
      </c>
      <c r="K45" s="41" t="inlineStr">
        <is>
          <t>Doc 08 §7</t>
        </is>
      </c>
      <c r="L45" s="41" t="n"/>
      <c r="M45" s="41" t="n"/>
    </row>
    <row r="46" ht="34" customHeight="1">
      <c r="A46" s="40" t="n">
        <v>41</v>
      </c>
      <c r="B46" s="41" t="inlineStr">
        <is>
          <t>Nghiệm thu</t>
        </is>
      </c>
      <c r="C46" s="42" t="inlineStr">
        <is>
          <t>M2-2</t>
        </is>
      </c>
      <c r="D46" s="41" t="inlineStr">
        <is>
          <t>Mỗi events sinh tối thiểu 1 event_occurrences, kể cả sự kiện không lặp lại</t>
        </is>
      </c>
      <c r="E46" s="40" t="inlineStr"/>
      <c r="F46" s="41" t="inlineStr"/>
      <c r="G46" s="40" t="inlineStr"/>
      <c r="H46" s="40" t="inlineStr"/>
      <c r="I46" s="40" t="inlineStr">
        <is>
          <t>Chưa làm</t>
        </is>
      </c>
      <c r="J46" s="41" t="inlineStr">
        <is>
          <t>Bằng chứng: Test + truy vấn SQL</t>
        </is>
      </c>
      <c r="K46" s="41" t="inlineStr">
        <is>
          <t>Doc 08 §7</t>
        </is>
      </c>
      <c r="L46" s="41" t="n"/>
      <c r="M46" s="41" t="n"/>
    </row>
    <row r="47" ht="34" customHeight="1">
      <c r="A47" s="40" t="n">
        <v>42</v>
      </c>
      <c r="B47" s="41" t="inlineStr">
        <is>
          <t>Nghiệm thu</t>
        </is>
      </c>
      <c r="C47" s="42" t="inlineStr">
        <is>
          <t>M2-3</t>
        </is>
      </c>
      <c r="D47" s="41" t="inlineStr">
        <is>
          <t>Cột chủ sự kiện tên đúng events.host_user_id; grep creator_id/organizer_id rỗng</t>
        </is>
      </c>
      <c r="E47" s="40" t="inlineStr"/>
      <c r="F47" s="41" t="inlineStr"/>
      <c r="G47" s="40" t="inlineStr"/>
      <c r="H47" s="40" t="inlineStr"/>
      <c r="I47" s="40" t="inlineStr">
        <is>
          <t>Chưa làm</t>
        </is>
      </c>
      <c r="J47" s="41" t="inlineStr">
        <is>
          <t>Bằng chứng: Kết quả grep</t>
        </is>
      </c>
      <c r="K47" s="41" t="inlineStr">
        <is>
          <t>Doc 08 §7</t>
        </is>
      </c>
      <c r="L47" s="41" t="n"/>
      <c r="M47" s="41" t="n"/>
    </row>
    <row r="48" ht="34" customHeight="1">
      <c r="A48" s="40" t="n">
        <v>43</v>
      </c>
      <c r="B48" s="41" t="inlineStr">
        <is>
          <t>Nghiệm thu</t>
        </is>
      </c>
      <c r="C48" s="42" t="inlineStr">
        <is>
          <t>M2-4</t>
        </is>
      </c>
      <c r="D48" s="41" t="inlineStr">
        <is>
          <t>Bộ lọc phơi đúng 6 khu vực MVP: An Thượng, Mỹ Khê, Mỹ An, Hải Châu, Sơn Trà, Ngũ Hành Sơn</t>
        </is>
      </c>
      <c r="E48" s="40" t="inlineStr"/>
      <c r="F48" s="41" t="inlineStr"/>
      <c r="G48" s="40" t="inlineStr"/>
      <c r="H48" s="40" t="inlineStr"/>
      <c r="I48" s="40" t="inlineStr">
        <is>
          <t>Chưa làm</t>
        </is>
      </c>
      <c r="J48" s="41" t="inlineStr">
        <is>
          <t>Bằng chứng: Ảnh giao diện + test API</t>
        </is>
      </c>
      <c r="K48" s="41" t="inlineStr">
        <is>
          <t>Doc 08 §7</t>
        </is>
      </c>
      <c r="L48" s="41" t="n"/>
      <c r="M48" s="41" t="n"/>
    </row>
    <row r="49" ht="34" customHeight="1">
      <c r="A49" s="40" t="n">
        <v>44</v>
      </c>
      <c r="B49" s="41" t="inlineStr">
        <is>
          <t>Nghiệm thu</t>
        </is>
      </c>
      <c r="C49" s="42" t="inlineStr">
        <is>
          <t>M2-5</t>
        </is>
      </c>
      <c r="D49" s="41" t="inlineStr">
        <is>
          <t>Lọc theo loại hình / khu vực / khoảng thời gian / ngôn ngữ / mức phí đều đúng, có facets đếm thật</t>
        </is>
      </c>
      <c r="E49" s="40" t="inlineStr"/>
      <c r="F49" s="41" t="inlineStr"/>
      <c r="G49" s="40" t="inlineStr"/>
      <c r="H49" s="40" t="inlineStr"/>
      <c r="I49" s="40" t="inlineStr">
        <is>
          <t>Chưa làm</t>
        </is>
      </c>
      <c r="J49" s="41" t="inlineStr">
        <is>
          <t>Bằng chứng: Video + so khớp 10 mẫu</t>
        </is>
      </c>
      <c r="K49" s="41" t="inlineStr">
        <is>
          <t>Doc 08 §7</t>
        </is>
      </c>
      <c r="L49" s="41" t="n"/>
      <c r="M49" s="41" t="n"/>
    </row>
    <row r="50" ht="34" customHeight="1">
      <c r="A50" s="40" t="n">
        <v>45</v>
      </c>
      <c r="B50" s="41" t="inlineStr">
        <is>
          <t>Nghiệm thu</t>
        </is>
      </c>
      <c r="C50" s="42" t="inlineStr">
        <is>
          <t>M2-6</t>
        </is>
      </c>
      <c r="D50" s="41" t="inlineStr">
        <is>
          <t>Truy vấn bán kính ST_DWithin dùng index GIST; p95 &lt; 200 ms với 10.000 sự kiện</t>
        </is>
      </c>
      <c r="E50" s="40" t="inlineStr"/>
      <c r="F50" s="41" t="inlineStr"/>
      <c r="G50" s="40" t="inlineStr"/>
      <c r="H50" s="40" t="inlineStr"/>
      <c r="I50" s="40" t="inlineStr">
        <is>
          <t>Chưa làm</t>
        </is>
      </c>
      <c r="J50" s="41" t="inlineStr">
        <is>
          <t>Bằng chứng: Báo cáo đo + EXPLAIN</t>
        </is>
      </c>
      <c r="K50" s="41" t="inlineStr">
        <is>
          <t>Doc 08 §7</t>
        </is>
      </c>
      <c r="L50" s="41" t="n"/>
      <c r="M50" s="41" t="n"/>
    </row>
    <row r="51" ht="34" customHeight="1">
      <c r="A51" s="40" t="n">
        <v>46</v>
      </c>
      <c r="B51" s="41" t="inlineStr">
        <is>
          <t>Nghiệm thu</t>
        </is>
      </c>
      <c r="C51" s="42" t="inlineStr">
        <is>
          <t>M2-7</t>
        </is>
      </c>
      <c r="D51" s="41" t="inlineStr">
        <is>
          <t>Bản đồ Đà Nẵng hiển thị đúng khu vực, gom cụm, ≥ 45 fps với 500 điểm</t>
        </is>
      </c>
      <c r="E51" s="40" t="inlineStr"/>
      <c r="F51" s="41" t="inlineStr"/>
      <c r="G51" s="40" t="inlineStr"/>
      <c r="H51" s="40" t="inlineStr"/>
      <c r="I51" s="40" t="inlineStr">
        <is>
          <t>Chưa làm</t>
        </is>
      </c>
      <c r="J51" s="41" t="inlineStr">
        <is>
          <t>Bằng chứng: Video</t>
        </is>
      </c>
      <c r="K51" s="41" t="inlineStr">
        <is>
          <t>Doc 08 §7</t>
        </is>
      </c>
      <c r="L51" s="41" t="n"/>
      <c r="M51" s="41" t="n"/>
    </row>
    <row r="52" ht="34" customHeight="1">
      <c r="A52" s="40" t="n">
        <v>47</v>
      </c>
      <c r="B52" s="41" t="inlineStr">
        <is>
          <t>Nghiệm thu</t>
        </is>
      </c>
      <c r="C52" s="42" t="inlineStr">
        <is>
          <t>M2-8</t>
        </is>
      </c>
      <c r="D52" s="41" t="inlineStr">
        <is>
          <t>Trang chi tiết công khai đọc được không cần đăng nhập, Lighthouse SEO ≥ 95, og:image sinh động</t>
        </is>
      </c>
      <c r="E52" s="40" t="inlineStr"/>
      <c r="F52" s="41" t="inlineStr"/>
      <c r="G52" s="40" t="inlineStr"/>
      <c r="H52" s="40" t="inlineStr"/>
      <c r="I52" s="40" t="inlineStr">
        <is>
          <t>Chưa làm</t>
        </is>
      </c>
      <c r="J52" s="41" t="inlineStr">
        <is>
          <t>Bằng chứng: Báo cáo Lighthouse + preview Facebook</t>
        </is>
      </c>
      <c r="K52" s="41" t="inlineStr">
        <is>
          <t>Doc 08 §7</t>
        </is>
      </c>
      <c r="L52" s="41" t="n"/>
      <c r="M52" s="41" t="n"/>
    </row>
    <row r="53" ht="34" customHeight="1">
      <c r="A53" s="40" t="n">
        <v>48</v>
      </c>
      <c r="B53" s="41" t="inlineStr">
        <is>
          <t>Nghiệm thu</t>
        </is>
      </c>
      <c r="C53" s="42" t="inlineStr">
        <is>
          <t>M2-9</t>
        </is>
      </c>
      <c r="D53" s="41" t="inlineStr">
        <is>
          <t>Mobile: xem chi tiết + deep link chia sẻ hoạt động trên thiết bị thật</t>
        </is>
      </c>
      <c r="E53" s="40" t="inlineStr"/>
      <c r="F53" s="41" t="inlineStr"/>
      <c r="G53" s="40" t="inlineStr"/>
      <c r="H53" s="40" t="inlineStr"/>
      <c r="I53" s="40" t="inlineStr">
        <is>
          <t>Chưa làm</t>
        </is>
      </c>
      <c r="J53" s="41" t="inlineStr">
        <is>
          <t>Bằng chứng: Video</t>
        </is>
      </c>
      <c r="K53" s="41" t="inlineStr">
        <is>
          <t>Doc 08 §7</t>
        </is>
      </c>
      <c r="L53" s="41" t="n"/>
      <c r="M53" s="41" t="n"/>
    </row>
    <row r="54" ht="34" customHeight="1">
      <c r="A54" s="40" t="n">
        <v>49</v>
      </c>
      <c r="B54" s="41" t="inlineStr">
        <is>
          <t>Nghiệm thu</t>
        </is>
      </c>
      <c r="C54" s="42" t="inlineStr">
        <is>
          <t>M2-10</t>
        </is>
      </c>
      <c r="D54" s="41" t="inlineStr">
        <is>
          <t>(nấc M2+, hạn 13/11) Feed khám phá mobile · (nấc M2++, hạn 27/11) Tạo sự kiện trên mobile</t>
        </is>
      </c>
      <c r="E54" s="40" t="inlineStr"/>
      <c r="F54" s="41" t="inlineStr"/>
      <c r="G54" s="40" t="inlineStr"/>
      <c r="H54" s="40" t="inlineStr"/>
      <c r="I54" s="40" t="inlineStr">
        <is>
          <t>Chưa làm</t>
        </is>
      </c>
      <c r="J54" s="41" t="inlineStr">
        <is>
          <t>Bằng chứng: Video từng nấc</t>
        </is>
      </c>
      <c r="K54" s="41" t="inlineStr">
        <is>
          <t>Doc 08 §7</t>
        </is>
      </c>
      <c r="L54" s="41" t="n"/>
      <c r="M54" s="41" t="n"/>
    </row>
    <row r="55" ht="34" customHeight="1">
      <c r="A55" s="43" t="n">
        <v>50</v>
      </c>
      <c r="B55" s="44" t="inlineStr">
        <is>
          <t>Demo</t>
        </is>
      </c>
      <c r="C55" s="45" t="inlineStr">
        <is>
          <t>S2-Demo-1</t>
        </is>
      </c>
      <c r="D55" s="44" t="inlineStr">
        <is>
          <t>Đăng nhập bằng tài khoản thật → hoàn thiện hồ sơ có ảnh, ngôn ngữ nói, khu vực "An Thượng"</t>
        </is>
      </c>
      <c r="E55" s="43" t="inlineStr">
        <is>
          <t>S2</t>
        </is>
      </c>
      <c r="F55" s="44" t="inlineStr"/>
      <c r="G55" s="43" t="inlineStr"/>
      <c r="H55" s="43" t="inlineStr"/>
      <c r="I55" s="43" t="inlineStr">
        <is>
          <t>Chưa làm</t>
        </is>
      </c>
      <c r="J55" s="44" t="inlineStr"/>
      <c r="K55" s="44" t="inlineStr">
        <is>
          <t>Doc 08 §6</t>
        </is>
      </c>
      <c r="L55" s="44" t="n"/>
      <c r="M55" s="44" t="n"/>
    </row>
    <row r="56" ht="34" customHeight="1">
      <c r="A56" s="43" t="n">
        <v>51</v>
      </c>
      <c r="B56" s="44" t="inlineStr">
        <is>
          <t>Demo</t>
        </is>
      </c>
      <c r="C56" s="45" t="inlineStr">
        <is>
          <t>S2-Demo-2</t>
        </is>
      </c>
      <c r="D56" s="44" t="inlineStr">
        <is>
          <t>Tạo hoạt động "Sunday Beach Volleyball · My Khe" qua form 4 bước, thoát giữa chừng, quay lại → nháp còn nguyên</t>
        </is>
      </c>
      <c r="E56" s="43" t="inlineStr">
        <is>
          <t>S2</t>
        </is>
      </c>
      <c r="F56" s="44" t="inlineStr"/>
      <c r="G56" s="43" t="inlineStr"/>
      <c r="H56" s="43" t="inlineStr"/>
      <c r="I56" s="43" t="inlineStr">
        <is>
          <t>Chưa làm</t>
        </is>
      </c>
      <c r="J56" s="44" t="inlineStr"/>
      <c r="K56" s="44" t="inlineStr">
        <is>
          <t>Doc 08 §6</t>
        </is>
      </c>
      <c r="L56" s="44" t="n"/>
      <c r="M56" s="44" t="n"/>
    </row>
    <row r="57" ht="49" customHeight="1">
      <c r="A57" s="43" t="n">
        <v>52</v>
      </c>
      <c r="B57" s="44" t="inlineStr">
        <is>
          <t>Demo</t>
        </is>
      </c>
      <c r="C57" s="45" t="inlineStr">
        <is>
          <t>S2-Demo-3</t>
        </is>
      </c>
      <c r="D57" s="44" t="inlineStr">
        <is>
          <t>Đăng hoạt động → mở lại API GET /api/v1/events/{id} cho thấy host_user_id, status: "published", source: "self_serve", và đúng 1 occurrence</t>
        </is>
      </c>
      <c r="E57" s="43" t="inlineStr">
        <is>
          <t>S2</t>
        </is>
      </c>
      <c r="F57" s="44" t="inlineStr"/>
      <c r="G57" s="43" t="inlineStr"/>
      <c r="H57" s="43" t="inlineStr"/>
      <c r="I57" s="43" t="inlineStr">
        <is>
          <t>Chưa làm</t>
        </is>
      </c>
      <c r="J57" s="44" t="inlineStr"/>
      <c r="K57" s="44" t="inlineStr">
        <is>
          <t>Doc 08 §6</t>
        </is>
      </c>
      <c r="L57" s="44" t="n"/>
      <c r="M57" s="44" t="n"/>
    </row>
    <row r="58" ht="34" customHeight="1">
      <c r="A58" s="43" t="n">
        <v>53</v>
      </c>
      <c r="B58" s="44" t="inlineStr">
        <is>
          <t>Demo</t>
        </is>
      </c>
      <c r="C58" s="45" t="inlineStr">
        <is>
          <t>S2-Demo-4</t>
        </is>
      </c>
      <c r="D58" s="44" t="inlineStr">
        <is>
          <t>Chạy SQL trực tiếp trên staging chứng minh location rơi đúng trong polygon my-khe</t>
        </is>
      </c>
      <c r="E58" s="43" t="inlineStr">
        <is>
          <t>S2</t>
        </is>
      </c>
      <c r="F58" s="44" t="inlineStr"/>
      <c r="G58" s="43" t="inlineStr"/>
      <c r="H58" s="43" t="inlineStr"/>
      <c r="I58" s="43" t="inlineStr">
        <is>
          <t>Chưa làm</t>
        </is>
      </c>
      <c r="J58" s="44" t="inlineStr"/>
      <c r="K58" s="44" t="inlineStr">
        <is>
          <t>Doc 08 §6</t>
        </is>
      </c>
      <c r="L58" s="44" t="n"/>
      <c r="M58" s="44" t="n"/>
    </row>
    <row r="59" ht="34" customHeight="1">
      <c r="A59" s="43" t="n">
        <v>54</v>
      </c>
      <c r="B59" s="44" t="inlineStr">
        <is>
          <t>Demo</t>
        </is>
      </c>
      <c r="C59" s="45" t="inlineStr">
        <is>
          <t>S2-Demo-5</t>
        </is>
      </c>
      <c r="D59" s="44" t="inlineStr">
        <is>
          <t>Đổi ngôn ngữ sang tiếng Việt trên cả web và mobile, toàn bộ nhãn đổi theo</t>
        </is>
      </c>
      <c r="E59" s="43" t="inlineStr">
        <is>
          <t>S2</t>
        </is>
      </c>
      <c r="F59" s="44" t="inlineStr"/>
      <c r="G59" s="43" t="inlineStr"/>
      <c r="H59" s="43" t="inlineStr"/>
      <c r="I59" s="43" t="inlineStr">
        <is>
          <t>Chưa làm</t>
        </is>
      </c>
      <c r="J59" s="44" t="inlineStr"/>
      <c r="K59" s="44" t="inlineStr">
        <is>
          <t>Doc 08 §6</t>
        </is>
      </c>
      <c r="L59" s="44" t="n"/>
      <c r="M59" s="44" t="n"/>
    </row>
    <row r="60" ht="49" customHeight="1">
      <c r="A60" s="43" t="n">
        <v>55</v>
      </c>
      <c r="B60" s="44" t="inlineStr">
        <is>
          <t>Demo</t>
        </is>
      </c>
      <c r="C60" s="45" t="inlineStr">
        <is>
          <t>S3-Demo-1</t>
        </is>
      </c>
      <c r="D60" s="44" t="inlineStr">
        <is>
          <t>Trang khám phá web: bấm chip "My An" + "Language exchange" + "Weekend" → danh sách rút còn đúng những buổi phù hợp, badge số trên chip khớp</t>
        </is>
      </c>
      <c r="E60" s="43" t="inlineStr">
        <is>
          <t>S3</t>
        </is>
      </c>
      <c r="F60" s="44" t="inlineStr"/>
      <c r="G60" s="43" t="inlineStr"/>
      <c r="H60" s="43" t="inlineStr"/>
      <c r="I60" s="43" t="inlineStr">
        <is>
          <t>Chưa làm</t>
        </is>
      </c>
      <c r="J60" s="44" t="inlineStr"/>
      <c r="K60" s="44" t="inlineStr">
        <is>
          <t>Doc 08 §6</t>
        </is>
      </c>
      <c r="L60" s="44" t="n"/>
      <c r="M60" s="44" t="n"/>
    </row>
    <row r="61" ht="34" customHeight="1">
      <c r="A61" s="43" t="n">
        <v>56</v>
      </c>
      <c r="B61" s="44" t="inlineStr">
        <is>
          <t>Demo</t>
        </is>
      </c>
      <c r="C61" s="45" t="inlineStr">
        <is>
          <t>S3-Demo-2</t>
        </is>
      </c>
      <c r="D61" s="44" t="inlineStr">
        <is>
          <t>Bật định vị trình duyệt tại văn phòng → "trong 2 km quanh tôi" trả kết quả hợp lý</t>
        </is>
      </c>
      <c r="E61" s="43" t="inlineStr">
        <is>
          <t>S3</t>
        </is>
      </c>
      <c r="F61" s="44" t="inlineStr"/>
      <c r="G61" s="43" t="inlineStr"/>
      <c r="H61" s="43" t="inlineStr"/>
      <c r="I61" s="43" t="inlineStr">
        <is>
          <t>Chưa làm</t>
        </is>
      </c>
      <c r="J61" s="44" t="inlineStr"/>
      <c r="K61" s="44" t="inlineStr">
        <is>
          <t>Doc 08 §6</t>
        </is>
      </c>
      <c r="L61" s="44" t="n"/>
      <c r="M61" s="44" t="n"/>
    </row>
    <row r="62" ht="19" customHeight="1">
      <c r="A62" s="43" t="n">
        <v>57</v>
      </c>
      <c r="B62" s="44" t="inlineStr">
        <is>
          <t>Demo</t>
        </is>
      </c>
      <c r="C62" s="45" t="inlineStr">
        <is>
          <t>S3-Demo-3</t>
        </is>
      </c>
      <c r="D62" s="44" t="inlineStr">
        <is>
          <t>Gõ "badminton" → kết quả hiện dưới 300 ms</t>
        </is>
      </c>
      <c r="E62" s="43" t="inlineStr">
        <is>
          <t>S3</t>
        </is>
      </c>
      <c r="F62" s="44" t="inlineStr"/>
      <c r="G62" s="43" t="inlineStr"/>
      <c r="H62" s="43" t="inlineStr"/>
      <c r="I62" s="43" t="inlineStr">
        <is>
          <t>Chưa làm</t>
        </is>
      </c>
      <c r="J62" s="44" t="inlineStr"/>
      <c r="K62" s="44" t="inlineStr">
        <is>
          <t>Doc 08 §6</t>
        </is>
      </c>
      <c r="L62" s="44" t="n"/>
      <c r="M62" s="44" t="n"/>
    </row>
    <row r="63" ht="34" customHeight="1">
      <c r="A63" s="43" t="n">
        <v>58</v>
      </c>
      <c r="B63" s="44" t="inlineStr">
        <is>
          <t>Demo</t>
        </is>
      </c>
      <c r="C63" s="45" t="inlineStr">
        <is>
          <t>S3-Demo-4</t>
        </is>
      </c>
      <c r="D63" s="44" t="inlineStr">
        <is>
          <t>Chuyển sang chế độ bản đồ → cụm điểm theo khu vực, bấm cụm thì mở ra</t>
        </is>
      </c>
      <c r="E63" s="43" t="inlineStr">
        <is>
          <t>S3</t>
        </is>
      </c>
      <c r="F63" s="44" t="inlineStr"/>
      <c r="G63" s="43" t="inlineStr"/>
      <c r="H63" s="43" t="inlineStr"/>
      <c r="I63" s="43" t="inlineStr">
        <is>
          <t>Chưa làm</t>
        </is>
      </c>
      <c r="J63" s="44" t="inlineStr"/>
      <c r="K63" s="44" t="inlineStr">
        <is>
          <t>Doc 08 §6</t>
        </is>
      </c>
      <c r="L63" s="44" t="n"/>
      <c r="M63" s="44" t="n"/>
    </row>
    <row r="64" ht="34" customHeight="1">
      <c r="A64" s="43" t="n">
        <v>59</v>
      </c>
      <c r="B64" s="44" t="inlineStr">
        <is>
          <t>Demo</t>
        </is>
      </c>
      <c r="C64" s="45" t="inlineStr">
        <is>
          <t>S3-Demo-5</t>
        </is>
      </c>
      <c r="D64" s="44" t="inlineStr">
        <is>
          <t>Copy link một sự kiện, dán vào ô soạn bài Facebook → preview hiện ảnh OG đúng</t>
        </is>
      </c>
      <c r="E64" s="43" t="inlineStr">
        <is>
          <t>S3</t>
        </is>
      </c>
      <c r="F64" s="44" t="inlineStr"/>
      <c r="G64" s="43" t="inlineStr"/>
      <c r="H64" s="43" t="inlineStr"/>
      <c r="I64" s="43" t="inlineStr">
        <is>
          <t>Chưa làm</t>
        </is>
      </c>
      <c r="J64" s="44" t="inlineStr"/>
      <c r="K64" s="44" t="inlineStr">
        <is>
          <t>Doc 08 §6</t>
        </is>
      </c>
      <c r="L64" s="44" t="n"/>
      <c r="M64" s="44" t="n"/>
    </row>
    <row r="65" ht="34" customHeight="1">
      <c r="A65" s="43" t="n">
        <v>60</v>
      </c>
      <c r="B65" s="44" t="inlineStr">
        <is>
          <t>Demo</t>
        </is>
      </c>
      <c r="C65" s="45" t="inlineStr">
        <is>
          <t>S3-Demo-6</t>
        </is>
      </c>
      <c r="D65" s="44" t="inlineStr">
        <is>
          <t>Quét deep link bằng iPhone thật → app mở thẳng màn chi tiết sự kiện đó</t>
        </is>
      </c>
      <c r="E65" s="43" t="inlineStr">
        <is>
          <t>S3</t>
        </is>
      </c>
      <c r="F65" s="44" t="inlineStr"/>
      <c r="G65" s="43" t="inlineStr"/>
      <c r="H65" s="43" t="inlineStr"/>
      <c r="I65" s="43" t="inlineStr">
        <is>
          <t>Chưa làm</t>
        </is>
      </c>
      <c r="J65" s="44" t="inlineStr"/>
      <c r="K65" s="44" t="inlineStr">
        <is>
          <t>Doc 08 §6</t>
        </is>
      </c>
      <c r="L65" s="44" t="n"/>
      <c r="M65" s="44" t="n"/>
    </row>
    <row r="66" ht="64" customHeight="1">
      <c r="A66" s="46" t="n">
        <v>61</v>
      </c>
      <c r="B66" s="47" t="inlineStr">
        <is>
          <t>Việc ngoài SP</t>
        </is>
      </c>
      <c r="C66" s="48" t="inlineStr">
        <is>
          <t>S2-Ops-0</t>
        </is>
      </c>
      <c r="D66" s="47" t="inlineStr">
        <is>
          <t>Community Manager bắt đầu playbook curate — mở sổ theo dõi 20 organizer mục tiêu, ghi nguồn công khai, chưa nhập vào hệ thống (chờ Admin Console ở S6, giai đoạn này nhập vào bảng tính).</t>
        </is>
      </c>
      <c r="E66" s="46" t="inlineStr">
        <is>
          <t>S2</t>
        </is>
      </c>
      <c r="F66" s="47" t="inlineStr">
        <is>
          <t>Founder / Community Manager</t>
        </is>
      </c>
      <c r="G66" s="46" t="inlineStr"/>
      <c r="H66" s="46" t="inlineStr"/>
      <c r="I66" s="46" t="inlineStr">
        <is>
          <t>Chưa xác nhận</t>
        </is>
      </c>
      <c r="J66" s="47" t="inlineStr"/>
      <c r="K66" s="47" t="inlineStr">
        <is>
          <t>Doc 08 §6</t>
        </is>
      </c>
      <c r="L66" s="47" t="n"/>
      <c r="M66" s="47" t="n"/>
    </row>
    <row r="67" ht="34" customHeight="1">
      <c r="A67" s="49" t="n">
        <v>62</v>
      </c>
      <c r="B67" s="50" t="inlineStr">
        <is>
          <t>Bổ sung từ mockup</t>
        </is>
      </c>
      <c r="C67" s="51" t="inlineStr">
        <is>
          <t>MK-NEWS-01</t>
        </is>
      </c>
      <c r="D67" s="50" t="inlineStr">
        <is>
          <t>Bảng news_articles (song ngữ, tag, related_event_id, published / relevant / evergreen) + GET /api/v1/news, /news/:id.</t>
        </is>
      </c>
      <c r="E67" s="49" t="inlineStr"/>
      <c r="F67" s="50" t="inlineStr">
        <is>
          <t>Backend</t>
        </is>
      </c>
      <c r="G67" s="49" t="inlineStr"/>
      <c r="H67" s="49" t="inlineStr"/>
      <c r="I67" s="49" t="inlineStr">
        <is>
          <t>Chưa làm</t>
        </is>
      </c>
      <c r="J67" s="50" t="inlineStr"/>
      <c r="K67" s="50" t="inlineStr">
        <is>
          <t>Mockup ② home, news-article</t>
        </is>
      </c>
      <c r="L67" s="50" t="n"/>
      <c r="M67" s="50" t="n"/>
    </row>
    <row r="68" ht="49" customHeight="1">
      <c r="A68" s="49" t="n">
        <v>63</v>
      </c>
      <c r="B68" s="50" t="inlineStr">
        <is>
          <t>Bổ sung từ mockup</t>
        </is>
      </c>
      <c r="C68" s="51" t="inlineStr">
        <is>
          <t>MK-NEWS-02</t>
        </is>
      </c>
      <c r="D68" s="50" t="inlineStr">
        <is>
          <t>Trang chủ biên tập: tin nổi bật + lưới tin, khối "Picked by our team" (SourceBadge + dòng nguồn + Interested), hàng Hướng dẫn, trang đọc bài.</t>
        </is>
      </c>
      <c r="E68" s="49" t="inlineStr"/>
      <c r="F68" s="50" t="inlineStr">
        <is>
          <t>Web</t>
        </is>
      </c>
      <c r="G68" s="49" t="inlineStr"/>
      <c r="H68" s="49" t="inlineStr"/>
      <c r="I68" s="49" t="inlineStr">
        <is>
          <t>Chưa làm</t>
        </is>
      </c>
      <c r="J68" s="50" t="inlineStr"/>
      <c r="K68" s="50" t="inlineStr">
        <is>
          <t>Mockup ② home, news-article</t>
        </is>
      </c>
      <c r="L68" s="50" t="n"/>
      <c r="M68" s="50" t="n"/>
    </row>
    <row r="69" ht="49" customHeight="1">
      <c r="A69" s="49" t="n">
        <v>64</v>
      </c>
      <c r="B69" s="50" t="inlineStr">
        <is>
          <t>Bổ sung từ mockup</t>
        </is>
      </c>
      <c r="C69" s="51" t="inlineStr">
        <is>
          <t>MK-TIME-01</t>
        </is>
      </c>
      <c r="D69" s="50" t="inlineStr">
        <is>
          <t>Bộ lọc Hôm nay / Tuần này / Tháng này / Chọn ngày cho Trang chủ và Discover; from/to theo Asia/Ho_Chi_Minh, lưu UTC; giữ trên URL; sự kiện lặp hiện một thẻ.</t>
        </is>
      </c>
      <c r="E69" s="49" t="inlineStr"/>
      <c r="F69" s="50" t="inlineStr">
        <is>
          <t>Web + Backend</t>
        </is>
      </c>
      <c r="G69" s="49" t="inlineStr"/>
      <c r="H69" s="49" t="inlineStr"/>
      <c r="I69" s="49" t="inlineStr">
        <is>
          <t>Chưa làm</t>
        </is>
      </c>
      <c r="J69" s="50" t="inlineStr"/>
      <c r="K69" s="50" t="inlineStr">
        <is>
          <t>Mockup ② home (range=day|week|month)</t>
        </is>
      </c>
      <c r="L69" s="50" t="n"/>
      <c r="M69" s="50" t="n"/>
    </row>
    <row r="70" ht="49" customHeight="1">
      <c r="A70" s="49" t="n">
        <v>65</v>
      </c>
      <c r="B70" s="50" t="inlineStr">
        <is>
          <t>Bổ sung từ mockup</t>
        </is>
      </c>
      <c r="C70" s="51" t="inlineStr">
        <is>
          <t>MK-DISC-01</t>
        </is>
      </c>
      <c r="D70" s="50" t="inlineStr">
        <is>
          <t>Discover chỉ sự kiện events.source = self_serve; thẻ có ★ điểm host + 💬 số bình luận; sắp xếp Top rated; khối "What people say".</t>
        </is>
      </c>
      <c r="E70" s="49" t="inlineStr"/>
      <c r="F70" s="50" t="inlineStr">
        <is>
          <t>Web + Backend</t>
        </is>
      </c>
      <c r="G70" s="49" t="inlineStr"/>
      <c r="H70" s="49" t="inlineStr"/>
      <c r="I70" s="49" t="inlineStr">
        <is>
          <t>Chưa làm</t>
        </is>
      </c>
      <c r="J70" s="50" t="inlineStr"/>
      <c r="K70" s="50" t="inlineStr">
        <is>
          <t>Mockup ② discover</t>
        </is>
      </c>
      <c r="L70" s="50" t="n"/>
      <c r="M70" s="50" t="n"/>
    </row>
    <row r="71" ht="49" customHeight="1">
      <c r="A71" s="49" t="n">
        <v>66</v>
      </c>
      <c r="B71" s="50" t="inlineStr">
        <is>
          <t>Bổ sung từ mockup</t>
        </is>
      </c>
      <c r="C71" s="51" t="inlineStr">
        <is>
          <t>MK-DETAIL-01</t>
        </is>
      </c>
      <c r="D71" s="50" t="inlineStr">
        <is>
          <t>Trang chi tiết: bình luận trả lời 1 cấp, host ghim, sắp xếp Mới nhất / Nổi bật; "Xem bản dịch" chỉ khi khác ngôn ngữ giao diện (nối comment API có sẵn, T-05).</t>
        </is>
      </c>
      <c r="E71" s="49" t="inlineStr"/>
      <c r="F71" s="50" t="inlineStr">
        <is>
          <t>Web</t>
        </is>
      </c>
      <c r="G71" s="49" t="inlineStr"/>
      <c r="H71" s="49" t="inlineStr"/>
      <c r="I71" s="49" t="inlineStr">
        <is>
          <t>Chưa làm</t>
        </is>
      </c>
      <c r="J71" s="50" t="inlineStr"/>
      <c r="K71" s="50" t="inlineStr">
        <is>
          <t>Mockup ③ event</t>
        </is>
      </c>
      <c r="L71" s="50" t="n"/>
      <c r="M71" s="50" t="n"/>
    </row>
    <row r="72" ht="49" customHeight="1">
      <c r="A72" s="49" t="n">
        <v>67</v>
      </c>
      <c r="B72" s="50" t="inlineStr">
        <is>
          <t>Bổ sung từ mockup</t>
        </is>
      </c>
      <c r="C72" s="51" t="inlineStr">
        <is>
          <t>MK-SWIPE-01</t>
        </is>
      </c>
      <c r="D72" s="50" t="inlineStr">
        <is>
          <t>Swipe trong dòng (PA B): Lưu / Chia sẻ / Bỏ qua, toast hoàn tác 6 giây, nút ♡ và ⋯ luôn hiện; bảng occurrence_dismissals (hết hạn 14 ngày).</t>
        </is>
      </c>
      <c r="E72" s="49" t="inlineStr"/>
      <c r="F72" s="50" t="inlineStr">
        <is>
          <t>Web + Mobile + Backend</t>
        </is>
      </c>
      <c r="G72" s="49" t="inlineStr"/>
      <c r="H72" s="49" t="inlineStr"/>
      <c r="I72" s="49" t="inlineStr">
        <is>
          <t>Chưa làm</t>
        </is>
      </c>
      <c r="J72" s="50" t="inlineStr">
        <is>
          <t>Khoảng 11 ngày-người theo doc 14.</t>
        </is>
      </c>
      <c r="K72" s="50" t="inlineStr">
        <is>
          <t>Mockup ⑤ inline · Doc 14 §8.2</t>
        </is>
      </c>
      <c r="L72" s="50" t="n"/>
      <c r="M72" s="50" t="n"/>
    </row>
    <row r="73" ht="34" customHeight="1">
      <c r="A73" s="49" t="n">
        <v>68</v>
      </c>
      <c r="B73" s="50" t="inlineStr">
        <is>
          <t>Bổ sung từ mockup</t>
        </is>
      </c>
      <c r="C73" s="51" t="inlineStr">
        <is>
          <t>MK-SWIPE-02</t>
        </is>
      </c>
      <c r="D73" s="50" t="inlineStr">
        <is>
          <t>Deck "Plan your week" (tối đa 12 thẻ, vuốt phải = Lưu, kéo lên mở sheet xác nhận RSVP, màn tổng kết cảnh báo trùng giờ).</t>
        </is>
      </c>
      <c r="E73" s="49" t="inlineStr"/>
      <c r="F73" s="50" t="inlineStr">
        <is>
          <t>Web + Mobile</t>
        </is>
      </c>
      <c r="G73" s="49" t="inlineStr"/>
      <c r="H73" s="49" t="inlineStr"/>
      <c r="I73" s="49" t="inlineStr">
        <is>
          <t>Chưa làm</t>
        </is>
      </c>
      <c r="J73" s="50" t="inlineStr">
        <is>
          <t>Chỉ làm nếu DEC-SWIPE chốt bật.</t>
        </is>
      </c>
      <c r="K73" s="50" t="inlineStr">
        <is>
          <t>Mockup ⑤ deck, deck-summary</t>
        </is>
      </c>
      <c r="L73" s="50" t="n"/>
      <c r="M73" s="50" t="n"/>
    </row>
  </sheetData>
  <autoFilter ref="A5:M73"/>
  <mergeCells count="4">
    <mergeCell ref="A4:B4"/>
    <mergeCell ref="A3:M3"/>
    <mergeCell ref="A2:M2"/>
    <mergeCell ref="A1:M1"/>
  </mergeCells>
  <conditionalFormatting sqref="I6:I103">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onditionalFormatting>
  <dataValidations count="1">
    <dataValidation sqref="I6:I103" showDropDown="0" showInputMessage="0" showErrorMessage="1" allowBlank="1" errorTitle="Trạng thái không hợp lệ" error="Chọn một trong: Xong, Một phần, Chưa làm, Bị chặn, Cần chốt, Chưa xác nhận" type="list">
      <formula1>"Xong,Một phần,Chưa làm,Bị chặn,Cần chốt,Chưa xác nhận"</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0369A1"/>
    <outlinePr summaryBelow="1" summaryRight="1"/>
    <pageSetUpPr fitToPage="1"/>
  </sheetPr>
  <dimension ref="A1:M45"/>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8" t="inlineStr">
        <is>
          <t>M3 · RSVP + Waitlist + Thông báo — chốt 13/11/2026 · Sprint S4</t>
        </is>
      </c>
    </row>
    <row r="2" ht="18" customHeight="1">
      <c r="A2" s="19" t="inlineStr">
        <is>
          <t>Mục tiêu: S4 — RSVP, Waitlist &amp; Thông báo (02/11 – 13/11/2026): Hai trăm người bấm đăng ký cùng lúc vào một buổi có 50 chỗ thì đúng 50 người vào going, phần còn lại vào waitlisted theo thứ tự, và ai cũng nhận được thông báo đúng.</t>
        </is>
      </c>
    </row>
    <row r="3" ht="18" customHeight="1">
      <c r="A3" s="20" t="inlineStr">
        <is>
          <t>Nếu trượt: M3-3 (waitlist) là MUST của MVP, không được hoãn. Nếu tuần W09 kết thúc mà E6-S3 chưa xong, cắt ngay E5-S7 khỏi S4 và dồn toàn bộ nhánh backend vào RSVP. Nấc M2+ lùi sang S5.</t>
        </is>
      </c>
    </row>
    <row r="4" ht="20" customHeight="1">
      <c r="A4" s="21" t="inlineStr">
        <is>
          <t>Tiến độ</t>
        </is>
      </c>
      <c r="B4" s="22" t="n"/>
      <c r="C4" s="22">
        <f>COUNTA($C$6:$C$400)&amp;" mục"</f>
        <v/>
      </c>
      <c r="D4" s="23">
        <f>"Xong: "&amp;COUNTIF($I$6:$I$400,"Xong")</f>
        <v/>
      </c>
      <c r="E4" s="24">
        <f>"Một phần: "&amp;COUNTIF($I$6:$I$400,"Một phần")</f>
        <v/>
      </c>
      <c r="F4" s="25">
        <f>"Chưa làm: "&amp;COUNTIF($I$6:$I$400,"Chưa làm")</f>
        <v/>
      </c>
      <c r="G4" s="26">
        <f>"Bị chặn: "&amp;COUNTIF($I$6:$I$400,"Bị chặn")</f>
        <v/>
      </c>
      <c r="H4" s="27">
        <f>"Cần chốt: "&amp;COUNTIF($I$6:$I$400,"Cần chốt")</f>
        <v/>
      </c>
      <c r="I4" s="28">
        <f>"Chưa xác nhận: "&amp;COUNTIF($I$6:$I$400,"Chưa xác nhận")</f>
        <v/>
      </c>
      <c r="J4" s="29">
        <f>"Tỷ lệ xong: "&amp;TEXT(IFERROR(COUNTIF($I$6:$I$400,"Xong")/COUNTA($C$6:$C$400),0),"0%")</f>
        <v/>
      </c>
      <c r="K4" s="22" t="n"/>
      <c r="L4" s="22" t="n"/>
      <c r="M4" s="22"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34" customHeight="1">
      <c r="A6" s="30" t="n">
        <v>1</v>
      </c>
      <c r="B6" s="31" t="inlineStr">
        <is>
          <t>Việc chặn &amp; cần chốt</t>
        </is>
      </c>
      <c r="C6" s="32" t="inlineStr">
        <is>
          <t>DEC-MYEVENTS</t>
        </is>
      </c>
      <c r="D6" s="33" t="inlineStr">
        <is>
          <t>Gộp W-40 / W-44 / W-46 thành một màn "Sự kiện của tôi" dạng agenda; cập nhật doc 10.</t>
        </is>
      </c>
      <c r="E6" s="30" t="inlineStr"/>
      <c r="F6" s="33" t="inlineStr">
        <is>
          <t>BA + Tech Lead</t>
        </is>
      </c>
      <c r="G6" s="30" t="inlineStr"/>
      <c r="H6" s="30" t="inlineStr"/>
      <c r="I6" s="30" t="inlineStr">
        <is>
          <t>Cần chốt</t>
        </is>
      </c>
      <c r="J6" s="33" t="inlineStr"/>
      <c r="K6" s="33" t="inlineStr">
        <is>
          <t>Mockup ④ my-going</t>
        </is>
      </c>
      <c r="L6" s="33" t="n"/>
      <c r="M6" s="33" t="n"/>
    </row>
    <row r="7" ht="49" customHeight="1">
      <c r="A7" s="34" t="n">
        <v>2</v>
      </c>
      <c r="B7" s="35" t="inlineStr">
        <is>
          <t>Story</t>
        </is>
      </c>
      <c r="C7" s="36" t="inlineStr">
        <is>
          <t>E6-S1</t>
        </is>
      </c>
      <c r="D7" s="35" t="inlineStr">
        <is>
          <t>Mô hình rsvps gắn vào event_occurrences, có sức chứa + danh sách chờ</t>
        </is>
      </c>
      <c r="E7" s="34" t="inlineStr">
        <is>
          <t>S4</t>
        </is>
      </c>
      <c r="F7" s="35" t="inlineStr">
        <is>
          <t>Backend</t>
        </is>
      </c>
      <c r="G7" s="34" t="n">
        <v>8</v>
      </c>
      <c r="H7" s="34" t="inlineStr">
        <is>
          <t>MUST</t>
        </is>
      </c>
      <c r="I7" s="34" t="inlineStr">
        <is>
          <t>Một phần</t>
        </is>
      </c>
      <c r="J7" s="35" t="inlineStr">
        <is>
          <t>Module rsvp + schema event_occurrences có. Theo ghi chú phiên 01–02/09, chưa kiểm chứng lại bằng code.</t>
        </is>
      </c>
      <c r="K7" s="35" t="inlineStr">
        <is>
          <t>Theo ghi chú phiên 01–02/09, chưa kiểm chứng lại bằng code</t>
        </is>
      </c>
      <c r="L7" s="35" t="n"/>
      <c r="M7" s="35" t="n"/>
    </row>
    <row r="8" ht="49" customHeight="1">
      <c r="A8" s="34" t="n">
        <v>3</v>
      </c>
      <c r="B8" s="35" t="inlineStr">
        <is>
          <t>Story</t>
        </is>
      </c>
      <c r="C8" s="36" t="inlineStr">
        <is>
          <t>E6-S2</t>
        </is>
      </c>
      <c r="D8" s="35" t="inlineStr">
        <is>
          <t>Đăng ký / rút đăng ký, không bao giờ vượt sức chứa</t>
        </is>
      </c>
      <c r="E8" s="34" t="inlineStr">
        <is>
          <t>S4</t>
        </is>
      </c>
      <c r="F8" s="35" t="inlineStr">
        <is>
          <t>Backend</t>
        </is>
      </c>
      <c r="G8" s="34" t="n">
        <v>8</v>
      </c>
      <c r="H8" s="34" t="inlineStr">
        <is>
          <t>MUST</t>
        </is>
      </c>
      <c r="I8" s="34" t="inlineStr">
        <is>
          <t>Một phần</t>
        </is>
      </c>
      <c r="J8" s="35" t="inlineStr">
        <is>
          <t>Giữ chỗ dưới row lock, không vượt sức chứa. Theo ghi chú phiên 01–02/09, chưa kiểm chứng lại bằng code.</t>
        </is>
      </c>
      <c r="K8" s="35" t="inlineStr">
        <is>
          <t>Theo ghi chú phiên 01–02/09, chưa kiểm chứng lại bằng code</t>
        </is>
      </c>
      <c r="L8" s="35" t="n"/>
      <c r="M8" s="35" t="n"/>
    </row>
    <row r="9" ht="49" customHeight="1">
      <c r="A9" s="34" t="n">
        <v>4</v>
      </c>
      <c r="B9" s="35" t="inlineStr">
        <is>
          <t>Story</t>
        </is>
      </c>
      <c r="C9" s="36" t="inlineStr">
        <is>
          <t>E6-S3</t>
        </is>
      </c>
      <c r="D9" s="35" t="inlineStr">
        <is>
          <t>Đôn tự động từ danh sách chờ khi có người rút — MUST của MVP</t>
        </is>
      </c>
      <c r="E9" s="34" t="inlineStr">
        <is>
          <t>S4</t>
        </is>
      </c>
      <c r="F9" s="35" t="inlineStr">
        <is>
          <t>Backend</t>
        </is>
      </c>
      <c r="G9" s="34" t="n">
        <v>5</v>
      </c>
      <c r="H9" s="34" t="inlineStr">
        <is>
          <t>MUST</t>
        </is>
      </c>
      <c r="I9" s="34" t="inlineStr">
        <is>
          <t>Một phần</t>
        </is>
      </c>
      <c r="J9" s="35" t="inlineStr">
        <is>
          <t>Huỷ chỗ đôn người đầu hàng chờ trong cùng transaction nhưng chuyển thẳng "confirmed", chưa giữ chỗ 12 giờ, chưa thông báo (T-16).</t>
        </is>
      </c>
      <c r="K9" s="35" t="inlineStr">
        <is>
          <t>Theo ghi chú phiên 01–02/09, chưa kiểm chứng lại bằng code</t>
        </is>
      </c>
      <c r="L9" s="35" t="n"/>
      <c r="M9" s="35" t="n"/>
    </row>
    <row r="10" ht="49" customHeight="1">
      <c r="A10" s="34" t="n">
        <v>5</v>
      </c>
      <c r="B10" s="35" t="inlineStr">
        <is>
          <t>Story</t>
        </is>
      </c>
      <c r="C10" s="36" t="inlineStr">
        <is>
          <t>E6-S7</t>
        </is>
      </c>
      <c r="D10" s="35" t="inlineStr">
        <is>
          <t>Nút đăng ký trên trang chi tiết web, hiện số chỗ còn lại</t>
        </is>
      </c>
      <c r="E10" s="34" t="inlineStr">
        <is>
          <t>S4</t>
        </is>
      </c>
      <c r="F10" s="35" t="inlineStr">
        <is>
          <t>Web</t>
        </is>
      </c>
      <c r="G10" s="34" t="n">
        <v>5</v>
      </c>
      <c r="H10" s="34" t="inlineStr">
        <is>
          <t>MUST</t>
        </is>
      </c>
      <c r="I10" s="34" t="inlineStr">
        <is>
          <t>Một phần</t>
        </is>
      </c>
      <c r="J10" s="35" t="inlineStr">
        <is>
          <t>Nút Join/Waitlist trên card và /events/[id] có. Theo ghi chú phiên 01–02/09, chưa kiểm chứng lại bằng code.</t>
        </is>
      </c>
      <c r="K10" s="35" t="inlineStr">
        <is>
          <t>Theo ghi chú phiên 01–02/09, chưa kiểm chứng lại bằng code</t>
        </is>
      </c>
      <c r="L10" s="35" t="n"/>
      <c r="M10" s="35" t="n"/>
    </row>
    <row r="11" ht="19" customHeight="1">
      <c r="A11" s="34" t="n">
        <v>6</v>
      </c>
      <c r="B11" s="35" t="inlineStr">
        <is>
          <t>Story</t>
        </is>
      </c>
      <c r="C11" s="36" t="inlineStr">
        <is>
          <t>E7-S1</t>
        </is>
      </c>
      <c r="D11" s="35" t="inlineStr">
        <is>
          <t>Hàng đợi BullMQ + worker riêng + retry theo cấp số nhân</t>
        </is>
      </c>
      <c r="E11" s="34" t="inlineStr">
        <is>
          <t>S4</t>
        </is>
      </c>
      <c r="F11" s="35" t="inlineStr">
        <is>
          <t>Backend</t>
        </is>
      </c>
      <c r="G11" s="34" t="n">
        <v>5</v>
      </c>
      <c r="H11" s="34" t="inlineStr">
        <is>
          <t>MUST</t>
        </is>
      </c>
      <c r="I11" s="34" t="inlineStr">
        <is>
          <t>Chưa làm</t>
        </is>
      </c>
      <c r="J11" s="35" t="inlineStr"/>
      <c r="K11" s="35" t="inlineStr">
        <is>
          <t>Doc 08 §6</t>
        </is>
      </c>
      <c r="L11" s="35" t="n"/>
      <c r="M11" s="35" t="n"/>
    </row>
    <row r="12" ht="34" customHeight="1">
      <c r="A12" s="34" t="n">
        <v>7</v>
      </c>
      <c r="B12" s="35" t="inlineStr">
        <is>
          <t>Story</t>
        </is>
      </c>
      <c r="C12" s="36" t="inlineStr">
        <is>
          <t>E7-S2</t>
        </is>
      </c>
      <c r="D12" s="35" t="inlineStr">
        <is>
          <t>Dịch vụ thông báo, template song ngữ EN/VI theo ngôn ngữ người nhận</t>
        </is>
      </c>
      <c r="E12" s="34" t="inlineStr">
        <is>
          <t>S4</t>
        </is>
      </c>
      <c r="F12" s="35" t="inlineStr">
        <is>
          <t>Backend</t>
        </is>
      </c>
      <c r="G12" s="34" t="n">
        <v>8</v>
      </c>
      <c r="H12" s="34" t="inlineStr">
        <is>
          <t>MUST</t>
        </is>
      </c>
      <c r="I12" s="34" t="inlineStr">
        <is>
          <t>Chưa làm</t>
        </is>
      </c>
      <c r="J12" s="35" t="inlineStr"/>
      <c r="K12" s="35" t="inlineStr">
        <is>
          <t>Doc 08 §6</t>
        </is>
      </c>
      <c r="L12" s="35" t="n"/>
      <c r="M12" s="35" t="n"/>
    </row>
    <row r="13" ht="19" customHeight="1">
      <c r="A13" s="34" t="n">
        <v>8</v>
      </c>
      <c r="B13" s="35" t="inlineStr">
        <is>
          <t>Story</t>
        </is>
      </c>
      <c r="C13" s="36" t="inlineStr">
        <is>
          <t>E7-S3</t>
        </is>
      </c>
      <c r="D13" s="35" t="inlineStr">
        <is>
          <t>Expo Push tới thiết bị thật</t>
        </is>
      </c>
      <c r="E13" s="34" t="inlineStr">
        <is>
          <t>S4</t>
        </is>
      </c>
      <c r="F13" s="35" t="inlineStr">
        <is>
          <t>Backend + Mobile</t>
        </is>
      </c>
      <c r="G13" s="34" t="n">
        <v>8</v>
      </c>
      <c r="H13" s="34" t="inlineStr">
        <is>
          <t>MUST</t>
        </is>
      </c>
      <c r="I13" s="34" t="inlineStr">
        <is>
          <t>Chưa làm</t>
        </is>
      </c>
      <c r="J13" s="35" t="inlineStr"/>
      <c r="K13" s="35" t="inlineStr">
        <is>
          <t>Doc 08 §6</t>
        </is>
      </c>
      <c r="L13" s="35" t="n"/>
      <c r="M13" s="35" t="n"/>
    </row>
    <row r="14" ht="19" customHeight="1">
      <c r="A14" s="34" t="n">
        <v>9</v>
      </c>
      <c r="B14" s="35" t="inlineStr">
        <is>
          <t>Story</t>
        </is>
      </c>
      <c r="C14" s="36" t="inlineStr">
        <is>
          <t>E7-S4</t>
        </is>
      </c>
      <c r="D14" s="35" t="inlineStr">
        <is>
          <t>Email xác nhận RSVP + email nhắc</t>
        </is>
      </c>
      <c r="E14" s="34" t="inlineStr">
        <is>
          <t>S4</t>
        </is>
      </c>
      <c r="F14" s="35" t="inlineStr">
        <is>
          <t>Backend</t>
        </is>
      </c>
      <c r="G14" s="34" t="n">
        <v>5</v>
      </c>
      <c r="H14" s="34" t="inlineStr">
        <is>
          <t>MUST</t>
        </is>
      </c>
      <c r="I14" s="34" t="inlineStr">
        <is>
          <t>Chưa làm</t>
        </is>
      </c>
      <c r="J14" s="35" t="inlineStr"/>
      <c r="K14" s="35" t="inlineStr">
        <is>
          <t>Doc 08 §6</t>
        </is>
      </c>
      <c r="L14" s="35" t="n"/>
      <c r="M14" s="35" t="n"/>
    </row>
    <row r="15" ht="19" customHeight="1">
      <c r="A15" s="34" t="n">
        <v>10</v>
      </c>
      <c r="B15" s="35" t="inlineStr">
        <is>
          <t>Story</t>
        </is>
      </c>
      <c r="C15" s="36" t="inlineStr">
        <is>
          <t>E7-S8</t>
        </is>
      </c>
      <c r="D15" s="35" t="inlineStr">
        <is>
          <t>Nhắc T‑24h và T‑2h</t>
        </is>
      </c>
      <c r="E15" s="34" t="inlineStr">
        <is>
          <t>S4</t>
        </is>
      </c>
      <c r="F15" s="35" t="inlineStr">
        <is>
          <t>Backend</t>
        </is>
      </c>
      <c r="G15" s="34" t="n">
        <v>5</v>
      </c>
      <c r="H15" s="34" t="inlineStr">
        <is>
          <t>MUST</t>
        </is>
      </c>
      <c r="I15" s="34" t="inlineStr">
        <is>
          <t>Chưa làm</t>
        </is>
      </c>
      <c r="J15" s="35" t="inlineStr"/>
      <c r="K15" s="35" t="inlineStr">
        <is>
          <t>Doc 08 §6</t>
        </is>
      </c>
      <c r="L15" s="35" t="n"/>
      <c r="M15" s="35" t="n"/>
    </row>
    <row r="16" ht="19" customHeight="1">
      <c r="A16" s="34" t="n">
        <v>11</v>
      </c>
      <c r="B16" s="35" t="inlineStr">
        <is>
          <t>Story</t>
        </is>
      </c>
      <c r="C16" s="36" t="inlineStr">
        <is>
          <t>E5-S7</t>
        </is>
      </c>
      <c r="D16" s="35" t="inlineStr">
        <is>
          <t>Feed khám phá mobile + bảng lọc kéo lên (nấc M2+)</t>
        </is>
      </c>
      <c r="E16" s="34" t="inlineStr">
        <is>
          <t>S4</t>
        </is>
      </c>
      <c r="F16" s="35" t="inlineStr">
        <is>
          <t>Mobile</t>
        </is>
      </c>
      <c r="G16" s="34" t="n">
        <v>13</v>
      </c>
      <c r="H16" s="34" t="inlineStr">
        <is>
          <t>MUST</t>
        </is>
      </c>
      <c r="I16" s="34" t="inlineStr">
        <is>
          <t>Chưa làm</t>
        </is>
      </c>
      <c r="J16" s="35" t="inlineStr"/>
      <c r="K16" s="35" t="inlineStr">
        <is>
          <t>Doc 08 §6</t>
        </is>
      </c>
      <c r="L16" s="35" t="n"/>
      <c r="M16" s="35" t="n"/>
    </row>
    <row r="17" ht="49" customHeight="1">
      <c r="A17" s="37" t="n">
        <v>12</v>
      </c>
      <c r="B17" s="38" t="inlineStr">
        <is>
          <t>DoD bổ sung</t>
        </is>
      </c>
      <c r="C17" s="39" t="inlineStr">
        <is>
          <t>S4-DoD-1</t>
        </is>
      </c>
      <c r="D17" s="38" t="inlineStr">
        <is>
          <t>Bảng rsvps có cột occurrence_id tham chiếu event_occurrences(id). Không có cột event_id trong rsvps — kiểm tra bằng test đọc information_schema.columns</t>
        </is>
      </c>
      <c r="E17" s="37" t="inlineStr">
        <is>
          <t>S4</t>
        </is>
      </c>
      <c r="F17" s="38" t="inlineStr"/>
      <c r="G17" s="37" t="inlineStr"/>
      <c r="H17" s="37" t="inlineStr"/>
      <c r="I17" s="37" t="inlineStr">
        <is>
          <t>Chưa làm</t>
        </is>
      </c>
      <c r="J17" s="38" t="inlineStr"/>
      <c r="K17" s="38" t="inlineStr">
        <is>
          <t>Doc 08 §6</t>
        </is>
      </c>
      <c r="L17" s="38" t="n"/>
      <c r="M17" s="38" t="n"/>
    </row>
    <row r="18" ht="19" customHeight="1">
      <c r="A18" s="37" t="n">
        <v>13</v>
      </c>
      <c r="B18" s="38" t="inlineStr">
        <is>
          <t>DoD bổ sung</t>
        </is>
      </c>
      <c r="C18" s="39" t="inlineStr">
        <is>
          <t>S4-DoD-2</t>
        </is>
      </c>
      <c r="D18" s="38" t="inlineStr">
        <is>
          <t>UNIQUE (occurrence_id, user_id)</t>
        </is>
      </c>
      <c r="E18" s="37" t="inlineStr">
        <is>
          <t>S4</t>
        </is>
      </c>
      <c r="F18" s="38" t="inlineStr"/>
      <c r="G18" s="37" t="inlineStr"/>
      <c r="H18" s="37" t="inlineStr"/>
      <c r="I18" s="37" t="inlineStr">
        <is>
          <t>Chưa làm</t>
        </is>
      </c>
      <c r="J18" s="38" t="inlineStr"/>
      <c r="K18" s="38" t="inlineStr">
        <is>
          <t>Doc 08 §6</t>
        </is>
      </c>
      <c r="L18" s="38" t="n"/>
      <c r="M18" s="38" t="n"/>
    </row>
    <row r="19" ht="34" customHeight="1">
      <c r="A19" s="37" t="n">
        <v>14</v>
      </c>
      <c r="B19" s="38" t="inlineStr">
        <is>
          <t>DoD bổ sung</t>
        </is>
      </c>
      <c r="C19" s="39" t="inlineStr">
        <is>
          <t>S4-DoD-3</t>
        </is>
      </c>
      <c r="D19" s="38" t="inlineStr">
        <is>
          <t>rsvps.status là enum chữ thường: going, waitlisted, cancelled, checked_in, no_show</t>
        </is>
      </c>
      <c r="E19" s="37" t="inlineStr">
        <is>
          <t>S4</t>
        </is>
      </c>
      <c r="F19" s="38" t="inlineStr"/>
      <c r="G19" s="37" t="inlineStr"/>
      <c r="H19" s="37" t="inlineStr"/>
      <c r="I19" s="37" t="inlineStr">
        <is>
          <t>Chưa làm</t>
        </is>
      </c>
      <c r="J19" s="38" t="inlineStr"/>
      <c r="K19" s="38" t="inlineStr">
        <is>
          <t>Doc 08 §6</t>
        </is>
      </c>
      <c r="L19" s="38" t="n"/>
      <c r="M19" s="38" t="n"/>
    </row>
    <row r="20" ht="49" customHeight="1">
      <c r="A20" s="37" t="n">
        <v>15</v>
      </c>
      <c r="B20" s="38" t="inlineStr">
        <is>
          <t>DoD bổ sung</t>
        </is>
      </c>
      <c r="C20" s="39" t="inlineStr">
        <is>
          <t>S4-DoD-4</t>
        </is>
      </c>
      <c r="D20" s="38" t="inlineStr">
        <is>
          <t>Nhận chỗ dùng SELECT ... FOR UPDATE trên hàng event_occurrences, tính cả guest_count; going_count / waitlist_count cập nhật trong cùng transaction</t>
        </is>
      </c>
      <c r="E20" s="37" t="inlineStr">
        <is>
          <t>S4</t>
        </is>
      </c>
      <c r="F20" s="38" t="inlineStr"/>
      <c r="G20" s="37" t="inlineStr"/>
      <c r="H20" s="37" t="inlineStr"/>
      <c r="I20" s="37" t="inlineStr">
        <is>
          <t>Chưa làm</t>
        </is>
      </c>
      <c r="J20" s="38" t="inlineStr"/>
      <c r="K20" s="38" t="inlineStr">
        <is>
          <t>Doc 08 §6</t>
        </is>
      </c>
      <c r="L20" s="38" t="n"/>
      <c r="M20" s="38" t="n"/>
    </row>
    <row r="21" ht="64" customHeight="1">
      <c r="A21" s="37" t="n">
        <v>16</v>
      </c>
      <c r="B21" s="38" t="inlineStr">
        <is>
          <t>DoD bổ sung</t>
        </is>
      </c>
      <c r="C21" s="39" t="inlineStr">
        <is>
          <t>S4-DoD-5</t>
        </is>
      </c>
      <c r="D21" s="38" t="inlineStr">
        <is>
          <t>Test tải bắt buộc: 200 request đồng thời vào occurrence có capacity = 50 → đúng 50 going, 150 waitlisted, thứ tự position liên tục 1..150, không có lỗ. Chạy 3 lần liên tiếp đều cho kết quả như nhau</t>
        </is>
      </c>
      <c r="E21" s="37" t="inlineStr">
        <is>
          <t>S4</t>
        </is>
      </c>
      <c r="F21" s="38" t="inlineStr"/>
      <c r="G21" s="37" t="inlineStr"/>
      <c r="H21" s="37" t="inlineStr"/>
      <c r="I21" s="37" t="inlineStr">
        <is>
          <t>Chưa làm</t>
        </is>
      </c>
      <c r="J21" s="38" t="inlineStr"/>
      <c r="K21" s="38" t="inlineStr">
        <is>
          <t>Doc 08 §6</t>
        </is>
      </c>
      <c r="L21" s="38" t="n"/>
      <c r="M21" s="38" t="n"/>
    </row>
    <row r="22" ht="49" customHeight="1">
      <c r="A22" s="37" t="n">
        <v>17</v>
      </c>
      <c r="B22" s="38" t="inlineStr">
        <is>
          <t>DoD bổ sung</t>
        </is>
      </c>
      <c r="C22" s="39" t="inlineStr">
        <is>
          <t>S4-DoD-6</t>
        </is>
      </c>
      <c r="D22" s="38" t="inlineStr">
        <is>
          <t>Test đôn waitlist: người thứ 12 rút → người position = 1 chuyển sang going, position của phần còn lại dồn lên, người được đôn nhận push + email + in-app trong ≤ 60 giây</t>
        </is>
      </c>
      <c r="E22" s="37" t="inlineStr">
        <is>
          <t>S4</t>
        </is>
      </c>
      <c r="F22" s="38" t="inlineStr"/>
      <c r="G22" s="37" t="inlineStr"/>
      <c r="H22" s="37" t="inlineStr"/>
      <c r="I22" s="37" t="inlineStr">
        <is>
          <t>Chưa làm</t>
        </is>
      </c>
      <c r="J22" s="38" t="inlineStr"/>
      <c r="K22" s="38" t="inlineStr">
        <is>
          <t>Doc 08 §6</t>
        </is>
      </c>
      <c r="L22" s="38" t="n"/>
      <c r="M22" s="38" t="n"/>
    </row>
    <row r="23" ht="49" customHeight="1">
      <c r="A23" s="37" t="n">
        <v>18</v>
      </c>
      <c r="B23" s="38" t="inlineStr">
        <is>
          <t>DoD bổ sung</t>
        </is>
      </c>
      <c r="C23" s="39" t="inlineStr">
        <is>
          <t>S4-DoD-7</t>
        </is>
      </c>
      <c r="D23" s="38" t="inlineStr">
        <is>
          <t>Endpoint chính hoạt động: POST /api/v1/occurrences/{occurrenceId}/rsvps, DELETE /api/v1/occurrences/{occurrenceId}/rsvps/me, GET /api/v1/occurrences/{occurrenceId}/attendees</t>
        </is>
      </c>
      <c r="E23" s="37" t="inlineStr">
        <is>
          <t>S4</t>
        </is>
      </c>
      <c r="F23" s="38" t="inlineStr"/>
      <c r="G23" s="37" t="inlineStr"/>
      <c r="H23" s="37" t="inlineStr"/>
      <c r="I23" s="37" t="inlineStr">
        <is>
          <t>Chưa làm</t>
        </is>
      </c>
      <c r="J23" s="38" t="inlineStr"/>
      <c r="K23" s="38" t="inlineStr">
        <is>
          <t>Doc 08 §6</t>
        </is>
      </c>
      <c r="L23" s="38" t="n"/>
      <c r="M23" s="38" t="n"/>
    </row>
    <row r="24" ht="49" customHeight="1">
      <c r="A24" s="37" t="n">
        <v>19</v>
      </c>
      <c r="B24" s="38" t="inlineStr">
        <is>
          <t>DoD bổ sung</t>
        </is>
      </c>
      <c r="C24" s="39" t="inlineStr">
        <is>
          <t>S4-DoD-8</t>
        </is>
      </c>
      <c r="D24" s="38" t="inlineStr">
        <is>
          <t>Đường tắt POST /api/v1/events/{eventId}/rsvps trỏ tới occurrence sắp diễn ra gần nhất; có test khẳng định trả 409 khi event có nhiều hơn một occurrence sắp tới</t>
        </is>
      </c>
      <c r="E24" s="37" t="inlineStr">
        <is>
          <t>S4</t>
        </is>
      </c>
      <c r="F24" s="38" t="inlineStr"/>
      <c r="G24" s="37" t="inlineStr"/>
      <c r="H24" s="37" t="inlineStr"/>
      <c r="I24" s="37" t="inlineStr">
        <is>
          <t>Chưa làm</t>
        </is>
      </c>
      <c r="J24" s="38" t="inlineStr"/>
      <c r="K24" s="38" t="inlineStr">
        <is>
          <t>Doc 08 §6</t>
        </is>
      </c>
      <c r="L24" s="38" t="n"/>
      <c r="M24" s="38" t="n"/>
    </row>
    <row r="25" ht="64" customHeight="1">
      <c r="A25" s="37" t="n">
        <v>20</v>
      </c>
      <c r="B25" s="38" t="inlineStr">
        <is>
          <t>DoD bổ sung</t>
        </is>
      </c>
      <c r="C25" s="39" t="inlineStr">
        <is>
          <t>S4-DoD-9</t>
        </is>
      </c>
      <c r="D25" s="38" t="inlineStr">
        <is>
          <t>Nhắc T‑24h và T‑2h chạy đúng theo giờ địa phương Asia/Ho_Chi_Minh của sự kiện; có test cho sự kiện lúc 07:00 sáng (nhắc T‑24h rơi vào 07:00 hôm trước, T‑2h rơi vào 05:00 — kiểm tra không bị đẩy sang khung giờ cấm)</t>
        </is>
      </c>
      <c r="E25" s="37" t="inlineStr">
        <is>
          <t>S4</t>
        </is>
      </c>
      <c r="F25" s="38" t="inlineStr"/>
      <c r="G25" s="37" t="inlineStr"/>
      <c r="H25" s="37" t="inlineStr"/>
      <c r="I25" s="37" t="inlineStr">
        <is>
          <t>Chưa làm</t>
        </is>
      </c>
      <c r="J25" s="38" t="inlineStr"/>
      <c r="K25" s="38" t="inlineStr">
        <is>
          <t>Doc 08 §6</t>
        </is>
      </c>
      <c r="L25" s="38" t="n"/>
      <c r="M25" s="38" t="n"/>
    </row>
    <row r="26" ht="49" customHeight="1">
      <c r="A26" s="37" t="n">
        <v>21</v>
      </c>
      <c r="B26" s="38" t="inlineStr">
        <is>
          <t>DoD bổ sung</t>
        </is>
      </c>
      <c r="C26" s="39" t="inlineStr">
        <is>
          <t>S4-DoD-10</t>
        </is>
      </c>
      <c r="D26" s="38" t="inlineStr">
        <is>
          <t>Job nhắc chống gửi trùng: chạy lại worker 3 lần không tạo thêm bản ghi gửi nào (khoá idempotency theo rsvp_id + reminder_type)</t>
        </is>
      </c>
      <c r="E26" s="37" t="inlineStr">
        <is>
          <t>S4</t>
        </is>
      </c>
      <c r="F26" s="38" t="inlineStr"/>
      <c r="G26" s="37" t="inlineStr"/>
      <c r="H26" s="37" t="inlineStr"/>
      <c r="I26" s="37" t="inlineStr">
        <is>
          <t>Chưa làm</t>
        </is>
      </c>
      <c r="J26" s="38" t="inlineStr"/>
      <c r="K26" s="38" t="inlineStr">
        <is>
          <t>Doc 08 §6</t>
        </is>
      </c>
      <c r="L26" s="38" t="n"/>
      <c r="M26" s="38" t="n"/>
    </row>
    <row r="27" ht="34" customHeight="1">
      <c r="A27" s="37" t="n">
        <v>22</v>
      </c>
      <c r="B27" s="38" t="inlineStr">
        <is>
          <t>DoD bổ sung</t>
        </is>
      </c>
      <c r="C27" s="39" t="inlineStr">
        <is>
          <t>S4-DoD-11</t>
        </is>
      </c>
      <c r="D27" s="38" t="inlineStr">
        <is>
          <t>Không đăng ký được vào sự kiện đã bắt đầu hoặc đã cancelled → 422 có mã lỗi rõ</t>
        </is>
      </c>
      <c r="E27" s="37" t="inlineStr">
        <is>
          <t>S4</t>
        </is>
      </c>
      <c r="F27" s="38" t="inlineStr"/>
      <c r="G27" s="37" t="inlineStr"/>
      <c r="H27" s="37" t="inlineStr"/>
      <c r="I27" s="37" t="inlineStr">
        <is>
          <t>Chưa làm</t>
        </is>
      </c>
      <c r="J27" s="38" t="inlineStr"/>
      <c r="K27" s="38" t="inlineStr">
        <is>
          <t>Doc 08 §6</t>
        </is>
      </c>
      <c r="L27" s="38" t="n"/>
      <c r="M27" s="38" t="n"/>
    </row>
    <row r="28" ht="19" customHeight="1">
      <c r="A28" s="40" t="n">
        <v>23</v>
      </c>
      <c r="B28" s="41" t="inlineStr">
        <is>
          <t>Nghiệm thu</t>
        </is>
      </c>
      <c r="C28" s="42" t="inlineStr">
        <is>
          <t>M3-1</t>
        </is>
      </c>
      <c r="D28" s="41" t="inlineStr">
        <is>
          <t>rsvps gắn vào occurrence_id; bảng không có cột event_id</t>
        </is>
      </c>
      <c r="E28" s="40" t="inlineStr"/>
      <c r="F28" s="41" t="inlineStr"/>
      <c r="G28" s="40" t="inlineStr"/>
      <c r="H28" s="40" t="inlineStr"/>
      <c r="I28" s="40" t="inlineStr">
        <is>
          <t>Chưa làm</t>
        </is>
      </c>
      <c r="J28" s="41" t="inlineStr">
        <is>
          <t>Bằng chứng: Test đọc information_schema</t>
        </is>
      </c>
      <c r="K28" s="41" t="inlineStr">
        <is>
          <t>Doc 08 §7</t>
        </is>
      </c>
      <c r="L28" s="41" t="n"/>
      <c r="M28" s="41" t="n"/>
    </row>
    <row r="29" ht="34" customHeight="1">
      <c r="A29" s="40" t="n">
        <v>24</v>
      </c>
      <c r="B29" s="41" t="inlineStr">
        <is>
          <t>Nghiệm thu</t>
        </is>
      </c>
      <c r="C29" s="42" t="inlineStr">
        <is>
          <t>M3-2</t>
        </is>
      </c>
      <c r="D29" s="41" t="inlineStr">
        <is>
          <t>200 RSVP đồng thời vào 50 chỗ → đúng 50 going, 150 waitlisted, position liên tục, lặp 3 lần đều đúng</t>
        </is>
      </c>
      <c r="E29" s="40" t="inlineStr"/>
      <c r="F29" s="41" t="inlineStr"/>
      <c r="G29" s="40" t="inlineStr"/>
      <c r="H29" s="40" t="inlineStr"/>
      <c r="I29" s="40" t="inlineStr">
        <is>
          <t>Chưa làm</t>
        </is>
      </c>
      <c r="J29" s="41" t="inlineStr">
        <is>
          <t>Bằng chứng: Báo cáo k6</t>
        </is>
      </c>
      <c r="K29" s="41" t="inlineStr">
        <is>
          <t>Doc 08 §7</t>
        </is>
      </c>
      <c r="L29" s="41" t="n"/>
      <c r="M29" s="41" t="n"/>
    </row>
    <row r="30" ht="49" customHeight="1">
      <c r="A30" s="40" t="n">
        <v>25</v>
      </c>
      <c r="B30" s="41" t="inlineStr">
        <is>
          <t>Nghiệm thu</t>
        </is>
      </c>
      <c r="C30" s="42" t="inlineStr">
        <is>
          <t>M3-3</t>
        </is>
      </c>
      <c r="D30" s="41" t="inlineStr">
        <is>
          <t>Waitlist đôn tự động khi có người rút; người được đôn nhận push + email + in-app trong ≤ 60 giây. Story E6-S3 phải xong trước 06/11/2026</t>
        </is>
      </c>
      <c r="E30" s="40" t="inlineStr"/>
      <c r="F30" s="41" t="inlineStr"/>
      <c r="G30" s="40" t="inlineStr"/>
      <c r="H30" s="40" t="inlineStr"/>
      <c r="I30" s="40" t="inlineStr">
        <is>
          <t>Chưa làm</t>
        </is>
      </c>
      <c r="J30" s="41" t="inlineStr">
        <is>
          <t>Bằng chứng: Video + log job</t>
        </is>
      </c>
      <c r="K30" s="41" t="inlineStr">
        <is>
          <t>Doc 08 §7</t>
        </is>
      </c>
      <c r="L30" s="41" t="n"/>
      <c r="M30" s="41" t="n"/>
    </row>
    <row r="31" ht="34" customHeight="1">
      <c r="A31" s="40" t="n">
        <v>26</v>
      </c>
      <c r="B31" s="41" t="inlineStr">
        <is>
          <t>Nghiệm thu</t>
        </is>
      </c>
      <c r="C31" s="42" t="inlineStr">
        <is>
          <t>M3-4</t>
        </is>
      </c>
      <c r="D31" s="41" t="inlineStr">
        <is>
          <t>POST /api/v1/occurrences/{occurrenceId}/rsvps là endpoint chính</t>
        </is>
      </c>
      <c r="E31" s="40" t="inlineStr"/>
      <c r="F31" s="41" t="inlineStr"/>
      <c r="G31" s="40" t="inlineStr"/>
      <c r="H31" s="40" t="inlineStr"/>
      <c r="I31" s="40" t="inlineStr">
        <is>
          <t>Chưa làm</t>
        </is>
      </c>
      <c r="J31" s="41" t="inlineStr">
        <is>
          <t>Bằng chứng: Swagger + test</t>
        </is>
      </c>
      <c r="K31" s="41" t="inlineStr">
        <is>
          <t>Doc 08 §7</t>
        </is>
      </c>
      <c r="L31" s="41" t="n"/>
      <c r="M31" s="41" t="n"/>
    </row>
    <row r="32" ht="34" customHeight="1">
      <c r="A32" s="40" t="n">
        <v>27</v>
      </c>
      <c r="B32" s="41" t="inlineStr">
        <is>
          <t>Nghiệm thu</t>
        </is>
      </c>
      <c r="C32" s="42" t="inlineStr">
        <is>
          <t>M3-5</t>
        </is>
      </c>
      <c r="D32" s="41" t="inlineStr">
        <is>
          <t>POST /api/v1/events/{eventId}/rsvps trỏ tới occurrence sắp tới gần nhất và trả 409 khi có nhiều occurrence sắp tới</t>
        </is>
      </c>
      <c r="E32" s="40" t="inlineStr"/>
      <c r="F32" s="41" t="inlineStr"/>
      <c r="G32" s="40" t="inlineStr"/>
      <c r="H32" s="40" t="inlineStr"/>
      <c r="I32" s="40" t="inlineStr">
        <is>
          <t>Chưa làm</t>
        </is>
      </c>
      <c r="J32" s="41" t="inlineStr">
        <is>
          <t>Bằng chứng: Test e2e</t>
        </is>
      </c>
      <c r="K32" s="41" t="inlineStr">
        <is>
          <t>Doc 08 §7</t>
        </is>
      </c>
      <c r="L32" s="41" t="n"/>
      <c r="M32" s="41" t="n"/>
    </row>
    <row r="33" ht="19" customHeight="1">
      <c r="A33" s="40" t="n">
        <v>28</v>
      </c>
      <c r="B33" s="41" t="inlineStr">
        <is>
          <t>Nghiệm thu</t>
        </is>
      </c>
      <c r="C33" s="42" t="inlineStr">
        <is>
          <t>M3-6</t>
        </is>
      </c>
      <c r="D33" s="41" t="inlineStr">
        <is>
          <t>Push tới thiết bị thật (iOS + Android), không phải simulator</t>
        </is>
      </c>
      <c r="E33" s="40" t="inlineStr"/>
      <c r="F33" s="41" t="inlineStr"/>
      <c r="G33" s="40" t="inlineStr"/>
      <c r="H33" s="40" t="inlineStr"/>
      <c r="I33" s="40" t="inlineStr">
        <is>
          <t>Chưa làm</t>
        </is>
      </c>
      <c r="J33" s="41" t="inlineStr">
        <is>
          <t>Bằng chứng: Video 2 máy</t>
        </is>
      </c>
      <c r="K33" s="41" t="inlineStr">
        <is>
          <t>Doc 08 §7</t>
        </is>
      </c>
      <c r="L33" s="41" t="n"/>
      <c r="M33" s="41" t="n"/>
    </row>
    <row r="34" ht="34" customHeight="1">
      <c r="A34" s="40" t="n">
        <v>29</v>
      </c>
      <c r="B34" s="41" t="inlineStr">
        <is>
          <t>Nghiệm thu</t>
        </is>
      </c>
      <c r="C34" s="42" t="inlineStr">
        <is>
          <t>M3-7</t>
        </is>
      </c>
      <c r="D34" s="41" t="inlineStr">
        <is>
          <t>Email xác nhận gửi đúng ngôn ngữ người nhận (EN mặc định, VI nếu chọn)</t>
        </is>
      </c>
      <c r="E34" s="40" t="inlineStr"/>
      <c r="F34" s="41" t="inlineStr"/>
      <c r="G34" s="40" t="inlineStr"/>
      <c r="H34" s="40" t="inlineStr"/>
      <c r="I34" s="40" t="inlineStr">
        <is>
          <t>Chưa làm</t>
        </is>
      </c>
      <c r="J34" s="41" t="inlineStr">
        <is>
          <t>Bằng chứng: 2 ảnh hộp thư</t>
        </is>
      </c>
      <c r="K34" s="41" t="inlineStr">
        <is>
          <t>Doc 08 §7</t>
        </is>
      </c>
      <c r="L34" s="41" t="n"/>
      <c r="M34" s="41" t="n"/>
    </row>
    <row r="35" ht="34" customHeight="1">
      <c r="A35" s="40" t="n">
        <v>30</v>
      </c>
      <c r="B35" s="41" t="inlineStr">
        <is>
          <t>Nghiệm thu</t>
        </is>
      </c>
      <c r="C35" s="42" t="inlineStr">
        <is>
          <t>M3-8</t>
        </is>
      </c>
      <c r="D35" s="41" t="inlineStr">
        <is>
          <t>Nhắc T‑24h và T‑2h bắn đúng giờ địa phương Asia/Ho_Chi_Minh, chống gửi trùng khi chạy lại worker</t>
        </is>
      </c>
      <c r="E35" s="40" t="inlineStr"/>
      <c r="F35" s="41" t="inlineStr"/>
      <c r="G35" s="40" t="inlineStr"/>
      <c r="H35" s="40" t="inlineStr"/>
      <c r="I35" s="40" t="inlineStr">
        <is>
          <t>Chưa làm</t>
        </is>
      </c>
      <c r="J35" s="41" t="inlineStr">
        <is>
          <t>Bằng chứng: Log + test idempotency</t>
        </is>
      </c>
      <c r="K35" s="41" t="inlineStr">
        <is>
          <t>Doc 08 §7</t>
        </is>
      </c>
      <c r="L35" s="41" t="n"/>
      <c r="M35" s="41" t="n"/>
    </row>
    <row r="36" ht="34" customHeight="1">
      <c r="A36" s="40" t="n">
        <v>31</v>
      </c>
      <c r="B36" s="41" t="inlineStr">
        <is>
          <t>Nghiệm thu</t>
        </is>
      </c>
      <c r="C36" s="42" t="inlineStr">
        <is>
          <t>M3-9</t>
        </is>
      </c>
      <c r="D36" s="41" t="inlineStr">
        <is>
          <t>Enum rsvps.status chữ thường: going, waitlisted, cancelled, checked_in, no_show</t>
        </is>
      </c>
      <c r="E36" s="40" t="inlineStr"/>
      <c r="F36" s="41" t="inlineStr"/>
      <c r="G36" s="40" t="inlineStr"/>
      <c r="H36" s="40" t="inlineStr"/>
      <c r="I36" s="40" t="inlineStr">
        <is>
          <t>Chưa làm</t>
        </is>
      </c>
      <c r="J36" s="41" t="inlineStr">
        <is>
          <t>Bằng chứng: Migration</t>
        </is>
      </c>
      <c r="K36" s="41" t="inlineStr">
        <is>
          <t>Doc 08 §7</t>
        </is>
      </c>
      <c r="L36" s="41" t="n"/>
      <c r="M36" s="41" t="n"/>
    </row>
    <row r="37" ht="34" customHeight="1">
      <c r="A37" s="43" t="n">
        <v>32</v>
      </c>
      <c r="B37" s="44" t="inlineStr">
        <is>
          <t>Demo</t>
        </is>
      </c>
      <c r="C37" s="45" t="inlineStr">
        <is>
          <t>S4-Demo-1</t>
        </is>
      </c>
      <c r="D37" s="44" t="inlineStr">
        <is>
          <t>Chạy script k6 ngay trên màn hình: 200 RSVP đồng thời vào 50 chỗ → bảng kết quả 50/150</t>
        </is>
      </c>
      <c r="E37" s="43" t="inlineStr">
        <is>
          <t>S4</t>
        </is>
      </c>
      <c r="F37" s="44" t="inlineStr"/>
      <c r="G37" s="43" t="inlineStr"/>
      <c r="H37" s="43" t="inlineStr"/>
      <c r="I37" s="43" t="inlineStr">
        <is>
          <t>Chưa làm</t>
        </is>
      </c>
      <c r="J37" s="44" t="inlineStr"/>
      <c r="K37" s="44" t="inlineStr">
        <is>
          <t>Doc 08 §6</t>
        </is>
      </c>
      <c r="L37" s="44" t="n"/>
      <c r="M37" s="44" t="n"/>
    </row>
    <row r="38" ht="49" customHeight="1">
      <c r="A38" s="43" t="n">
        <v>33</v>
      </c>
      <c r="B38" s="44" t="inlineStr">
        <is>
          <t>Demo</t>
        </is>
      </c>
      <c r="C38" s="45" t="inlineStr">
        <is>
          <t>S4-Demo-2</t>
        </is>
      </c>
      <c r="D38" s="44" t="inlineStr">
        <is>
          <t>Trên iPhone thật: rút đăng ký của một người đang going → điện thoại người đứng đầu danh sách chờ rung ngay tại chỗ với thông báo "You're in!"</t>
        </is>
      </c>
      <c r="E38" s="43" t="inlineStr">
        <is>
          <t>S4</t>
        </is>
      </c>
      <c r="F38" s="44" t="inlineStr"/>
      <c r="G38" s="43" t="inlineStr"/>
      <c r="H38" s="43" t="inlineStr"/>
      <c r="I38" s="43" t="inlineStr">
        <is>
          <t>Chưa làm</t>
        </is>
      </c>
      <c r="J38" s="44" t="inlineStr"/>
      <c r="K38" s="44" t="inlineStr">
        <is>
          <t>Doc 08 §6</t>
        </is>
      </c>
      <c r="L38" s="44" t="n"/>
      <c r="M38" s="44" t="n"/>
    </row>
    <row r="39" ht="34" customHeight="1">
      <c r="A39" s="43" t="n">
        <v>34</v>
      </c>
      <c r="B39" s="44" t="inlineStr">
        <is>
          <t>Demo</t>
        </is>
      </c>
      <c r="C39" s="45" t="inlineStr">
        <is>
          <t>S4-Demo-3</t>
        </is>
      </c>
      <c r="D39" s="44" t="inlineStr">
        <is>
          <t>Kiểm tra hộp thư: email xác nhận tiếng Anh cho tài khoản en, tiếng Việt cho tài khoản vi</t>
        </is>
      </c>
      <c r="E39" s="43" t="inlineStr">
        <is>
          <t>S4</t>
        </is>
      </c>
      <c r="F39" s="44" t="inlineStr"/>
      <c r="G39" s="43" t="inlineStr"/>
      <c r="H39" s="43" t="inlineStr"/>
      <c r="I39" s="43" t="inlineStr">
        <is>
          <t>Chưa làm</t>
        </is>
      </c>
      <c r="J39" s="44" t="inlineStr"/>
      <c r="K39" s="44" t="inlineStr">
        <is>
          <t>Doc 08 §6</t>
        </is>
      </c>
      <c r="L39" s="44" t="n"/>
      <c r="M39" s="44" t="n"/>
    </row>
    <row r="40" ht="34" customHeight="1">
      <c r="A40" s="43" t="n">
        <v>35</v>
      </c>
      <c r="B40" s="44" t="inlineStr">
        <is>
          <t>Demo</t>
        </is>
      </c>
      <c r="C40" s="45" t="inlineStr">
        <is>
          <t>S4-Demo-4</t>
        </is>
      </c>
      <c r="D40" s="44" t="inlineStr">
        <is>
          <t>Chỉnh giờ máy chủ staging để mô phỏng mốc T‑24h và T‑2h → hai đợt nhắc bắn đúng, không trùng</t>
        </is>
      </c>
      <c r="E40" s="43" t="inlineStr">
        <is>
          <t>S4</t>
        </is>
      </c>
      <c r="F40" s="44" t="inlineStr"/>
      <c r="G40" s="43" t="inlineStr"/>
      <c r="H40" s="43" t="inlineStr"/>
      <c r="I40" s="43" t="inlineStr">
        <is>
          <t>Chưa làm</t>
        </is>
      </c>
      <c r="J40" s="44" t="inlineStr"/>
      <c r="K40" s="44" t="inlineStr">
        <is>
          <t>Doc 08 §6</t>
        </is>
      </c>
      <c r="L40" s="44" t="n"/>
      <c r="M40" s="44" t="n"/>
    </row>
    <row r="41" ht="34" customHeight="1">
      <c r="A41" s="43" t="n">
        <v>36</v>
      </c>
      <c r="B41" s="44" t="inlineStr">
        <is>
          <t>Demo</t>
        </is>
      </c>
      <c r="C41" s="45" t="inlineStr">
        <is>
          <t>S4-Demo-5</t>
        </is>
      </c>
      <c r="D41" s="44" t="inlineStr">
        <is>
          <t>Feed khám phá trên mobile, kéo bảng lọc lên, lọc theo khu vực</t>
        </is>
      </c>
      <c r="E41" s="43" t="inlineStr">
        <is>
          <t>S4</t>
        </is>
      </c>
      <c r="F41" s="44" t="inlineStr"/>
      <c r="G41" s="43" t="inlineStr"/>
      <c r="H41" s="43" t="inlineStr"/>
      <c r="I41" s="43" t="inlineStr">
        <is>
          <t>Chưa làm</t>
        </is>
      </c>
      <c r="J41" s="44" t="inlineStr"/>
      <c r="K41" s="44" t="inlineStr">
        <is>
          <t>Doc 08 §6</t>
        </is>
      </c>
      <c r="L41" s="44" t="n"/>
      <c r="M41" s="44" t="n"/>
    </row>
    <row r="42" ht="49" customHeight="1">
      <c r="A42" s="49" t="n">
        <v>37</v>
      </c>
      <c r="B42" s="50" t="inlineStr">
        <is>
          <t>Bổ sung từ mockup</t>
        </is>
      </c>
      <c r="C42" s="51" t="inlineStr">
        <is>
          <t>MK-MY-01</t>
        </is>
      </c>
      <c r="D42" s="50" t="inlineStr">
        <is>
          <t>"Sự kiện của tôi": thẻ Next up (đếm ngược, địa chỉ chính xác, chỉ đường, QR điểm danh, chat nhóm), dải tuần, chip lọc, timeline, khối Past nhắc review; GET /me/agenda.</t>
        </is>
      </c>
      <c r="E42" s="49" t="inlineStr"/>
      <c r="F42" s="50" t="inlineStr">
        <is>
          <t>Web + Backend</t>
        </is>
      </c>
      <c r="G42" s="49" t="inlineStr"/>
      <c r="H42" s="49" t="inlineStr"/>
      <c r="I42" s="49" t="inlineStr">
        <is>
          <t>Chưa làm</t>
        </is>
      </c>
      <c r="J42" s="50" t="inlineStr">
        <is>
          <t>Route /my-events hiện là BlankScreen.</t>
        </is>
      </c>
      <c r="K42" s="50" t="inlineStr">
        <is>
          <t>Mockup ④ my-going, my-past</t>
        </is>
      </c>
      <c r="L42" s="50" t="n"/>
      <c r="M42" s="50" t="n"/>
    </row>
    <row r="43" ht="34" customHeight="1">
      <c r="A43" s="49" t="n">
        <v>38</v>
      </c>
      <c r="B43" s="50" t="inlineStr">
        <is>
          <t>Bổ sung từ mockup</t>
        </is>
      </c>
      <c r="C43" s="51" t="inlineStr">
        <is>
          <t>MK-MY-02</t>
        </is>
      </c>
      <c r="D43" s="50" t="inlineStr">
        <is>
          <t>Lời mời từ hàng chờ giữ chỗ 12 giờ (held + hold_expires_at) + thông báo (T-16).</t>
        </is>
      </c>
      <c r="E43" s="49" t="inlineStr"/>
      <c r="F43" s="50" t="inlineStr">
        <is>
          <t>Backend</t>
        </is>
      </c>
      <c r="G43" s="49" t="inlineStr"/>
      <c r="H43" s="49" t="inlineStr"/>
      <c r="I43" s="49" t="inlineStr">
        <is>
          <t>Chưa làm</t>
        </is>
      </c>
      <c r="J43" s="50" t="inlineStr"/>
      <c r="K43" s="50" t="inlineStr">
        <is>
          <t>Mockup ③ event-offer · ACTIVE_TASKS T-16</t>
        </is>
      </c>
      <c r="L43" s="50" t="n"/>
      <c r="M43" s="50" t="n"/>
    </row>
    <row r="44" ht="34" customHeight="1">
      <c r="A44" s="49" t="n">
        <v>39</v>
      </c>
      <c r="B44" s="50" t="inlineStr">
        <is>
          <t>Bổ sung từ mockup</t>
        </is>
      </c>
      <c r="C44" s="51" t="inlineStr">
        <is>
          <t>MK-MY-03</t>
        </is>
      </c>
      <c r="D44" s="50" t="inlineStr">
        <is>
          <t>Đồng bộ lịch cá nhân (.ics feed) + cảnh báo huỷ muộn khi còn &lt; 2 giờ (BR-10).</t>
        </is>
      </c>
      <c r="E44" s="49" t="inlineStr"/>
      <c r="F44" s="50" t="inlineStr">
        <is>
          <t>Web + Backend</t>
        </is>
      </c>
      <c r="G44" s="49" t="inlineStr"/>
      <c r="H44" s="49" t="inlineStr"/>
      <c r="I44" s="49" t="inlineStr">
        <is>
          <t>Chưa làm</t>
        </is>
      </c>
      <c r="J44" s="50" t="inlineStr"/>
      <c r="K44" s="50" t="inlineStr">
        <is>
          <t>Mockup ④ my-going</t>
        </is>
      </c>
      <c r="L44" s="50" t="n"/>
      <c r="M44" s="50" t="n"/>
    </row>
    <row r="45" ht="34" customHeight="1">
      <c r="A45" s="49" t="n">
        <v>40</v>
      </c>
      <c r="B45" s="50" t="inlineStr">
        <is>
          <t>Bổ sung từ mockup</t>
        </is>
      </c>
      <c r="C45" s="51" t="inlineStr">
        <is>
          <t>MK-RSVP-01</t>
        </is>
      </c>
      <c r="D45" s="50" t="inlineStr">
        <is>
          <t>Sheet xác nhận RSVP bắt buộc với sự kiện có phí, ≤ 10 chỗ (cổng T2), bắt đầu trong &lt; 2 giờ, nhận lời mời hàng chờ.</t>
        </is>
      </c>
      <c r="E45" s="49" t="inlineStr"/>
      <c r="F45" s="50" t="inlineStr">
        <is>
          <t>Web + Mobile</t>
        </is>
      </c>
      <c r="G45" s="49" t="inlineStr"/>
      <c r="H45" s="49" t="inlineStr"/>
      <c r="I45" s="49" t="inlineStr">
        <is>
          <t>Chưa làm</t>
        </is>
      </c>
      <c r="J45" s="50" t="inlineStr"/>
      <c r="K45" s="50" t="inlineStr">
        <is>
          <t>Mockup ⑤ deck-rsvp · Doc 14 §2.5</t>
        </is>
      </c>
      <c r="L45" s="50" t="n"/>
      <c r="M45" s="50" t="n"/>
    </row>
  </sheetData>
  <autoFilter ref="A5:M45"/>
  <mergeCells count="4">
    <mergeCell ref="A4:B4"/>
    <mergeCell ref="A3:M3"/>
    <mergeCell ref="A2:M2"/>
    <mergeCell ref="A1:M1"/>
  </mergeCells>
  <conditionalFormatting sqref="I6:I75">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onditionalFormatting>
  <dataValidations count="1">
    <dataValidation sqref="I6:I75" showDropDown="0" showInputMessage="0" showErrorMessage="1" allowBlank="1" errorTitle="Trạng thái không hợp lệ" error="Chọn một trong: Xong, Một phần, Chưa làm, Bị chặn, Cần chốt, Chưa xác nhận" type="list">
      <formula1>"Xong,Một phần,Chưa làm,Bị chặn,Cần chốt,Chưa xác nhận"</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0369A1"/>
    <outlinePr summaryBelow="1" summaryRight="1"/>
    <pageSetUpPr fitToPage="1"/>
  </sheetPr>
  <dimension ref="A1:M42"/>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8" t="inlineStr">
        <is>
          <t>M4 · Trust &amp; Safety tối thiểu — chốt 27/11/2026 · Sprint S5</t>
        </is>
      </c>
    </row>
    <row r="2" ht="18" customHeight="1">
      <c r="A2" s="19" t="inlineStr">
        <is>
          <t>Mục tiêu: S5 — Trust &amp; Safety (16/11 – 27/11/2026): Một người dùng gặp nội dung xấu có đường báo cáo rõ ràng; moderator xử lý được trong SLA; và mọi hồ sơ đều hiển thị đúng bậc T0–T5.</t>
        </is>
      </c>
    </row>
    <row r="3" ht="32" customHeight="1">
      <c r="A3" s="20" t="inlineStr">
        <is>
          <t>Nếu trượt: M4-8 và M4-9 là điều kiện chặn cứng để mở beta — không có chính sách đã thẩm định thì không được thu thập dữ liệu của 100 người thật. Nếu luật sư chưa xác nhận kịp, lùi ngày mời beta wave 1 chứ không mở beta bằng bản thảo chưa thẩm định.</t>
        </is>
      </c>
    </row>
    <row r="4" ht="20" customHeight="1">
      <c r="A4" s="21" t="inlineStr">
        <is>
          <t>Tiến độ</t>
        </is>
      </c>
      <c r="B4" s="22" t="n"/>
      <c r="C4" s="22">
        <f>COUNTA($C$6:$C$400)&amp;" mục"</f>
        <v/>
      </c>
      <c r="D4" s="23">
        <f>"Xong: "&amp;COUNTIF($I$6:$I$400,"Xong")</f>
        <v/>
      </c>
      <c r="E4" s="24">
        <f>"Một phần: "&amp;COUNTIF($I$6:$I$400,"Một phần")</f>
        <v/>
      </c>
      <c r="F4" s="25">
        <f>"Chưa làm: "&amp;COUNTIF($I$6:$I$400,"Chưa làm")</f>
        <v/>
      </c>
      <c r="G4" s="26">
        <f>"Bị chặn: "&amp;COUNTIF($I$6:$I$400,"Bị chặn")</f>
        <v/>
      </c>
      <c r="H4" s="27">
        <f>"Cần chốt: "&amp;COUNTIF($I$6:$I$400,"Cần chốt")</f>
        <v/>
      </c>
      <c r="I4" s="28">
        <f>"Chưa xác nhận: "&amp;COUNTIF($I$6:$I$400,"Chưa xác nhận")</f>
        <v/>
      </c>
      <c r="J4" s="29">
        <f>"Tỷ lệ xong: "&amp;TEXT(IFERROR(COUNTIF($I$6:$I$400,"Xong")/COUNTA($C$6:$C$400),0),"0%")</f>
        <v/>
      </c>
      <c r="K4" s="22" t="n"/>
      <c r="L4" s="22" t="n"/>
      <c r="M4" s="22"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34" customHeight="1">
      <c r="A6" s="30" t="n">
        <v>1</v>
      </c>
      <c r="B6" s="31" t="inlineStr">
        <is>
          <t>Việc chặn &amp; cần chốt</t>
        </is>
      </c>
      <c r="C6" s="32" t="inlineStr">
        <is>
          <t>DEC-REVIEWS</t>
        </is>
      </c>
      <c r="D6" s="33" t="inlineStr">
        <is>
          <t>Reviews (UC-16, đang Should) có vào MVP không; cửa sổ đánh giá 7 ngày (doc 05) hay 14 ngày (doc 03).</t>
        </is>
      </c>
      <c r="E6" s="30" t="inlineStr"/>
      <c r="F6" s="33" t="inlineStr">
        <is>
          <t>Product Owner</t>
        </is>
      </c>
      <c r="G6" s="30" t="inlineStr"/>
      <c r="H6" s="30" t="inlineStr"/>
      <c r="I6" s="30" t="inlineStr">
        <is>
          <t>Cần chốt</t>
        </is>
      </c>
      <c r="J6" s="33" t="inlineStr"/>
      <c r="K6" s="33" t="inlineStr">
        <is>
          <t>Mockup ③ review-write · Doc 02 UC-16</t>
        </is>
      </c>
      <c r="L6" s="33" t="n"/>
      <c r="M6" s="33" t="n"/>
    </row>
    <row r="7" ht="79" customHeight="1">
      <c r="A7" s="30" t="n">
        <v>2</v>
      </c>
      <c r="B7" s="31" t="inlineStr">
        <is>
          <t>Việc chặn &amp; cần chốt</t>
        </is>
      </c>
      <c r="C7" s="32" t="inlineStr">
        <is>
          <t>DEC-TRUST-LABELS</t>
        </is>
      </c>
      <c r="D7" s="33" t="inlineStr">
        <is>
          <t>Thống nhất nhãn trust T0–T5: code i18n (Restricted / New member / Verified / Regular / Trusted / Community host) với doc 05 §5.3 (New / Email verified / Phone verified / Active member / Trusted / Community leader); doc 10 §12.6 còn thang cũ.</t>
        </is>
      </c>
      <c r="E7" s="30" t="inlineStr"/>
      <c r="F7" s="33" t="inlineStr">
        <is>
          <t>BA + Tech Lead</t>
        </is>
      </c>
      <c r="G7" s="30" t="inlineStr"/>
      <c r="H7" s="30" t="inlineStr"/>
      <c r="I7" s="30" t="inlineStr">
        <is>
          <t>Cần chốt</t>
        </is>
      </c>
      <c r="J7" s="33" t="inlineStr">
        <is>
          <t>Liên quan nghiệm thu M4-5, M4-6.</t>
        </is>
      </c>
      <c r="K7" s="33" t="inlineStr">
        <is>
          <t>Doc 05 §5.3 · packages/i18n</t>
        </is>
      </c>
      <c r="L7" s="33" t="n"/>
      <c r="M7" s="33" t="n"/>
    </row>
    <row r="8" ht="19" customHeight="1">
      <c r="A8" s="34" t="n">
        <v>3</v>
      </c>
      <c r="B8" s="35" t="inlineStr">
        <is>
          <t>Story</t>
        </is>
      </c>
      <c r="C8" s="36" t="inlineStr">
        <is>
          <t>E8-S1</t>
        </is>
      </c>
      <c r="D8" s="35" t="inlineStr">
        <is>
          <t>Báo cáo hoạt động / người dùng</t>
        </is>
      </c>
      <c r="E8" s="34" t="inlineStr">
        <is>
          <t>S5</t>
        </is>
      </c>
      <c r="F8" s="35" t="inlineStr">
        <is>
          <t>Backend</t>
        </is>
      </c>
      <c r="G8" s="34" t="n">
        <v>5</v>
      </c>
      <c r="H8" s="34" t="inlineStr">
        <is>
          <t>MUST</t>
        </is>
      </c>
      <c r="I8" s="34" t="inlineStr">
        <is>
          <t>Chưa làm</t>
        </is>
      </c>
      <c r="J8" s="35" t="inlineStr"/>
      <c r="K8" s="35" t="inlineStr">
        <is>
          <t>Doc 08 §6</t>
        </is>
      </c>
      <c r="L8" s="35" t="n"/>
      <c r="M8" s="35" t="n"/>
    </row>
    <row r="9" ht="19" customHeight="1">
      <c r="A9" s="34" t="n">
        <v>4</v>
      </c>
      <c r="B9" s="35" t="inlineStr">
        <is>
          <t>Story</t>
        </is>
      </c>
      <c r="C9" s="36" t="inlineStr">
        <is>
          <t>E8-S2</t>
        </is>
      </c>
      <c r="D9" s="35" t="inlineStr">
        <is>
          <t>Chặn người dùng</t>
        </is>
      </c>
      <c r="E9" s="34" t="inlineStr">
        <is>
          <t>S5</t>
        </is>
      </c>
      <c r="F9" s="35" t="inlineStr">
        <is>
          <t>Backend</t>
        </is>
      </c>
      <c r="G9" s="34" t="n">
        <v>5</v>
      </c>
      <c r="H9" s="34" t="inlineStr">
        <is>
          <t>MUST</t>
        </is>
      </c>
      <c r="I9" s="34" t="inlineStr">
        <is>
          <t>Chưa làm</t>
        </is>
      </c>
      <c r="J9" s="35" t="inlineStr"/>
      <c r="K9" s="35" t="inlineStr">
        <is>
          <t>Doc 08 §6</t>
        </is>
      </c>
      <c r="L9" s="35" t="n"/>
      <c r="M9" s="35" t="n"/>
    </row>
    <row r="10" ht="34" customHeight="1">
      <c r="A10" s="34" t="n">
        <v>5</v>
      </c>
      <c r="B10" s="35" t="inlineStr">
        <is>
          <t>Story</t>
        </is>
      </c>
      <c r="C10" s="36" t="inlineStr">
        <is>
          <t>E8-S3</t>
        </is>
      </c>
      <c r="D10" s="35" t="inlineStr">
        <is>
          <t>Hàng đợi kiểm duyệt xếp theo mức nghiêm trọng + thời gian chờ</t>
        </is>
      </c>
      <c r="E10" s="34" t="inlineStr">
        <is>
          <t>S5</t>
        </is>
      </c>
      <c r="F10" s="35" t="inlineStr">
        <is>
          <t>Backend + Web</t>
        </is>
      </c>
      <c r="G10" s="34" t="n">
        <v>8</v>
      </c>
      <c r="H10" s="34" t="inlineStr">
        <is>
          <t>MUST</t>
        </is>
      </c>
      <c r="I10" s="34" t="inlineStr">
        <is>
          <t>Chưa làm</t>
        </is>
      </c>
      <c r="J10" s="35" t="inlineStr"/>
      <c r="K10" s="35" t="inlineStr">
        <is>
          <t>Doc 08 §6</t>
        </is>
      </c>
      <c r="L10" s="35" t="n"/>
      <c r="M10" s="35" t="n"/>
    </row>
    <row r="11" ht="34" customHeight="1">
      <c r="A11" s="34" t="n">
        <v>6</v>
      </c>
      <c r="B11" s="35" t="inlineStr">
        <is>
          <t>Story</t>
        </is>
      </c>
      <c r="C11" s="36" t="inlineStr">
        <is>
          <t>E8-S4</t>
        </is>
      </c>
      <c r="D11" s="35" t="inlineStr">
        <is>
          <t>Ẩn nội dung / gỡ hoạt động / khoá tài khoản, có ghi lý do &amp; người thực hiện</t>
        </is>
      </c>
      <c r="E11" s="34" t="inlineStr">
        <is>
          <t>S5</t>
        </is>
      </c>
      <c r="F11" s="35" t="inlineStr">
        <is>
          <t>Backend</t>
        </is>
      </c>
      <c r="G11" s="34" t="n">
        <v>5</v>
      </c>
      <c r="H11" s="34" t="inlineStr">
        <is>
          <t>MUST</t>
        </is>
      </c>
      <c r="I11" s="34" t="inlineStr">
        <is>
          <t>Chưa làm</t>
        </is>
      </c>
      <c r="J11" s="35" t="inlineStr"/>
      <c r="K11" s="35" t="inlineStr">
        <is>
          <t>Doc 08 §6</t>
        </is>
      </c>
      <c r="L11" s="35" t="n"/>
      <c r="M11" s="35" t="n"/>
    </row>
    <row r="12" ht="19" customHeight="1">
      <c r="A12" s="34" t="n">
        <v>7</v>
      </c>
      <c r="B12" s="35" t="inlineStr">
        <is>
          <t>Story</t>
        </is>
      </c>
      <c r="C12" s="36" t="inlineStr">
        <is>
          <t>E8-S5</t>
        </is>
      </c>
      <c r="D12" s="35" t="inlineStr">
        <is>
          <t>Community Guidelines + màn đồng ý trước khi tham gia</t>
        </is>
      </c>
      <c r="E12" s="34" t="inlineStr">
        <is>
          <t>S5</t>
        </is>
      </c>
      <c r="F12" s="35" t="inlineStr">
        <is>
          <t>Web + Product Owner</t>
        </is>
      </c>
      <c r="G12" s="34" t="n">
        <v>3</v>
      </c>
      <c r="H12" s="34" t="inlineStr">
        <is>
          <t>MUST</t>
        </is>
      </c>
      <c r="I12" s="34" t="inlineStr">
        <is>
          <t>Chưa làm</t>
        </is>
      </c>
      <c r="J12" s="35" t="inlineStr"/>
      <c r="K12" s="35" t="inlineStr">
        <is>
          <t>Doc 08 §6</t>
        </is>
      </c>
      <c r="L12" s="35" t="n"/>
      <c r="M12" s="35" t="n"/>
    </row>
    <row r="13" ht="19" customHeight="1">
      <c r="A13" s="34" t="n">
        <v>8</v>
      </c>
      <c r="B13" s="35" t="inlineStr">
        <is>
          <t>Story</t>
        </is>
      </c>
      <c r="C13" s="36" t="inlineStr">
        <is>
          <t>E8-S8</t>
        </is>
      </c>
      <c r="D13" s="35" t="inlineStr">
        <is>
          <t>Nhãn "Verified organizer"</t>
        </is>
      </c>
      <c r="E13" s="34" t="inlineStr">
        <is>
          <t>S5</t>
        </is>
      </c>
      <c r="F13" s="35" t="inlineStr">
        <is>
          <t>Backend</t>
        </is>
      </c>
      <c r="G13" s="34" t="n">
        <v>3</v>
      </c>
      <c r="H13" s="34" t="inlineStr">
        <is>
          <t>SHOULD</t>
        </is>
      </c>
      <c r="I13" s="34" t="inlineStr">
        <is>
          <t>Chưa làm</t>
        </is>
      </c>
      <c r="J13" s="35" t="inlineStr"/>
      <c r="K13" s="35" t="inlineStr">
        <is>
          <t>Doc 08 §6</t>
        </is>
      </c>
      <c r="L13" s="35" t="n"/>
      <c r="M13" s="35" t="n"/>
    </row>
    <row r="14" ht="19" customHeight="1">
      <c r="A14" s="34" t="n">
        <v>9</v>
      </c>
      <c r="B14" s="35" t="inlineStr">
        <is>
          <t>Story</t>
        </is>
      </c>
      <c r="C14" s="36" t="inlineStr">
        <is>
          <t>E3-S3</t>
        </is>
      </c>
      <c r="D14" s="35" t="inlineStr">
        <is>
          <t>Trust level T0–T5 trên hồ sơ, tính bằng job BullMQ</t>
        </is>
      </c>
      <c r="E14" s="34" t="inlineStr">
        <is>
          <t>S5</t>
        </is>
      </c>
      <c r="F14" s="35" t="inlineStr">
        <is>
          <t>Backend</t>
        </is>
      </c>
      <c r="G14" s="34" t="n">
        <v>8</v>
      </c>
      <c r="H14" s="34" t="inlineStr">
        <is>
          <t>MUST</t>
        </is>
      </c>
      <c r="I14" s="34" t="inlineStr">
        <is>
          <t>Chưa làm</t>
        </is>
      </c>
      <c r="J14" s="35" t="inlineStr"/>
      <c r="K14" s="35" t="inlineStr">
        <is>
          <t>Doc 08 §6</t>
        </is>
      </c>
      <c r="L14" s="35" t="n"/>
      <c r="M14" s="35" t="n"/>
    </row>
    <row r="15" ht="19" customHeight="1">
      <c r="A15" s="34" t="n">
        <v>10</v>
      </c>
      <c r="B15" s="35" t="inlineStr">
        <is>
          <t>Story</t>
        </is>
      </c>
      <c r="C15" s="36" t="inlineStr">
        <is>
          <t>E7-S6</t>
        </is>
      </c>
      <c r="D15" s="35" t="inlineStr">
        <is>
          <t>Trung tâm thông báo trong app và trên web</t>
        </is>
      </c>
      <c r="E15" s="34" t="inlineStr">
        <is>
          <t>S5</t>
        </is>
      </c>
      <c r="F15" s="35" t="inlineStr">
        <is>
          <t>Mobile + Web</t>
        </is>
      </c>
      <c r="G15" s="34" t="n">
        <v>8</v>
      </c>
      <c r="H15" s="34" t="inlineStr">
        <is>
          <t>SHOULD</t>
        </is>
      </c>
      <c r="I15" s="34" t="inlineStr">
        <is>
          <t>Chưa làm</t>
        </is>
      </c>
      <c r="J15" s="35" t="inlineStr"/>
      <c r="K15" s="35" t="inlineStr">
        <is>
          <t>Doc 08 §6</t>
        </is>
      </c>
      <c r="L15" s="35" t="n"/>
      <c r="M15" s="35" t="n"/>
    </row>
    <row r="16" ht="19" customHeight="1">
      <c r="A16" s="34" t="n">
        <v>11</v>
      </c>
      <c r="B16" s="35" t="inlineStr">
        <is>
          <t>Story</t>
        </is>
      </c>
      <c r="C16" s="36" t="inlineStr">
        <is>
          <t>E9-S1</t>
        </is>
      </c>
      <c r="D16" s="35" t="inlineStr">
        <is>
          <t>Khu vực quản trị riêng, đăng nhập tách biệt, audit log</t>
        </is>
      </c>
      <c r="E16" s="34" t="inlineStr">
        <is>
          <t>S5</t>
        </is>
      </c>
      <c r="F16" s="35" t="inlineStr">
        <is>
          <t>Web + Backend</t>
        </is>
      </c>
      <c r="G16" s="34" t="n">
        <v>5</v>
      </c>
      <c r="H16" s="34" t="inlineStr">
        <is>
          <t>MUST</t>
        </is>
      </c>
      <c r="I16" s="34" t="inlineStr">
        <is>
          <t>Chưa làm</t>
        </is>
      </c>
      <c r="J16" s="35" t="inlineStr"/>
      <c r="K16" s="35" t="inlineStr">
        <is>
          <t>Doc 08 §6</t>
        </is>
      </c>
      <c r="L16" s="35" t="n"/>
      <c r="M16" s="35" t="n"/>
    </row>
    <row r="17" ht="19" customHeight="1">
      <c r="A17" s="34" t="n">
        <v>12</v>
      </c>
      <c r="B17" s="35" t="inlineStr">
        <is>
          <t>Story</t>
        </is>
      </c>
      <c r="C17" s="36" t="inlineStr">
        <is>
          <t>E4-S7</t>
        </is>
      </c>
      <c r="D17" s="35" t="inlineStr">
        <is>
          <t>Tạo hoạt động trên mobile dưới 90 giây (nấc M2++)</t>
        </is>
      </c>
      <c r="E17" s="34" t="inlineStr">
        <is>
          <t>S5</t>
        </is>
      </c>
      <c r="F17" s="35" t="inlineStr">
        <is>
          <t>Mobile</t>
        </is>
      </c>
      <c r="G17" s="34" t="n">
        <v>13</v>
      </c>
      <c r="H17" s="34" t="inlineStr">
        <is>
          <t>MUST</t>
        </is>
      </c>
      <c r="I17" s="34" t="inlineStr">
        <is>
          <t>Chưa làm</t>
        </is>
      </c>
      <c r="J17" s="35" t="inlineStr"/>
      <c r="K17" s="35" t="inlineStr">
        <is>
          <t>Doc 08 §6</t>
        </is>
      </c>
      <c r="L17" s="35" t="n"/>
      <c r="M17" s="35" t="n"/>
    </row>
    <row r="18" ht="64" customHeight="1">
      <c r="A18" s="37" t="n">
        <v>13</v>
      </c>
      <c r="B18" s="38" t="inlineStr">
        <is>
          <t>DoD bổ sung</t>
        </is>
      </c>
      <c r="C18" s="39" t="inlineStr">
        <is>
          <t>S5-DoD-1</t>
        </is>
      </c>
      <c r="D18" s="38" t="inlineStr">
        <is>
          <t>users.trust_level không bao giờ được ghi trực tiếp bởi luồng nghiệp vụ. Mọi thay đổi đều do job BullMQ trust-level-recompute thực hiện; có test khẳng định service RSVP và service auth không có quyền UPDATE cột này</t>
        </is>
      </c>
      <c r="E18" s="37" t="inlineStr">
        <is>
          <t>S5</t>
        </is>
      </c>
      <c r="F18" s="38" t="inlineStr"/>
      <c r="G18" s="37" t="inlineStr"/>
      <c r="H18" s="37" t="inlineStr"/>
      <c r="I18" s="37" t="inlineStr">
        <is>
          <t>Chưa làm</t>
        </is>
      </c>
      <c r="J18" s="38" t="inlineStr"/>
      <c r="K18" s="38" t="inlineStr">
        <is>
          <t>Doc 08 §6</t>
        </is>
      </c>
      <c r="L18" s="38" t="n"/>
      <c r="M18" s="38" t="n"/>
    </row>
    <row r="19" ht="49" customHeight="1">
      <c r="A19" s="37" t="n">
        <v>14</v>
      </c>
      <c r="B19" s="38" t="inlineStr">
        <is>
          <t>DoD bổ sung</t>
        </is>
      </c>
      <c r="C19" s="39" t="inlineStr">
        <is>
          <t>S5-DoD-2</t>
        </is>
      </c>
      <c r="D19" s="38" t="inlineStr">
        <is>
          <t>trust-level-recompute chạy mỗi giờ và chạy ngay sau mỗi report_upheld; đọc toàn bộ trust_signals của user rồi ghi lại bậc</t>
        </is>
      </c>
      <c r="E19" s="37" t="inlineStr">
        <is>
          <t>S5</t>
        </is>
      </c>
      <c r="F19" s="38" t="inlineStr"/>
      <c r="G19" s="37" t="inlineStr"/>
      <c r="H19" s="37" t="inlineStr"/>
      <c r="I19" s="37" t="inlineStr">
        <is>
          <t>Chưa làm</t>
        </is>
      </c>
      <c r="J19" s="38" t="inlineStr"/>
      <c r="K19" s="38" t="inlineStr">
        <is>
          <t>Doc 08 §6</t>
        </is>
      </c>
      <c r="L19" s="38" t="n"/>
      <c r="M19" s="38" t="n"/>
    </row>
    <row r="20" ht="49" customHeight="1">
      <c r="A20" s="37" t="n">
        <v>15</v>
      </c>
      <c r="B20" s="38" t="inlineStr">
        <is>
          <t>DoD bổ sung</t>
        </is>
      </c>
      <c r="C20" s="39" t="inlineStr">
        <is>
          <t>S5-DoD-3</t>
        </is>
      </c>
      <c r="D20" s="38" t="inlineStr">
        <is>
          <t>Grep toàn repo không còn dấu vết thang cũ: grep -rniE "trust_score|reputation_score|verified_member|established|ambassador" phải rỗng. Không tồn tại bất kỳ thang điểm 0–100 nào</t>
        </is>
      </c>
      <c r="E20" s="37" t="inlineStr">
        <is>
          <t>S5</t>
        </is>
      </c>
      <c r="F20" s="38" t="inlineStr"/>
      <c r="G20" s="37" t="inlineStr"/>
      <c r="H20" s="37" t="inlineStr"/>
      <c r="I20" s="37" t="inlineStr">
        <is>
          <t>Chưa làm</t>
        </is>
      </c>
      <c r="J20" s="38" t="inlineStr"/>
      <c r="K20" s="38" t="inlineStr">
        <is>
          <t>Doc 08 §6</t>
        </is>
      </c>
      <c r="L20" s="38" t="n"/>
      <c r="M20" s="38" t="n"/>
    </row>
    <row r="21" ht="49" customHeight="1">
      <c r="A21" s="37" t="n">
        <v>16</v>
      </c>
      <c r="B21" s="38" t="inlineStr">
        <is>
          <t>DoD bổ sung</t>
        </is>
      </c>
      <c r="C21" s="39" t="inlineStr">
        <is>
          <t>S5-DoD-4</t>
        </is>
      </c>
      <c r="D21" s="38" t="inlineStr">
        <is>
          <t>Nhãn hiển thị đúng 6 chuỗi i18n: T0 New, T1 Email verified, T2 Phone verified, T3 Active member, T4 Trusted, T5 Community leader</t>
        </is>
      </c>
      <c r="E21" s="37" t="inlineStr">
        <is>
          <t>S5</t>
        </is>
      </c>
      <c r="F21" s="38" t="inlineStr"/>
      <c r="G21" s="37" t="inlineStr"/>
      <c r="H21" s="37" t="inlineStr"/>
      <c r="I21" s="37" t="inlineStr">
        <is>
          <t>Chưa làm</t>
        </is>
      </c>
      <c r="J21" s="38" t="inlineStr"/>
      <c r="K21" s="38" t="inlineStr">
        <is>
          <t>Doc 08 §6</t>
        </is>
      </c>
      <c r="L21" s="38" t="n"/>
      <c r="M21" s="38" t="n"/>
    </row>
    <row r="22" ht="49" customHeight="1">
      <c r="A22" s="37" t="n">
        <v>17</v>
      </c>
      <c r="B22" s="38" t="inlineStr">
        <is>
          <t>DoD bổ sung</t>
        </is>
      </c>
      <c r="C22" s="39" t="inlineStr">
        <is>
          <t>S5-DoD-5</t>
        </is>
      </c>
      <c r="D22" s="38" t="inlineStr">
        <is>
          <t>Tín hiệu âm (no_show_recorded, report_upheld) chỉ moderator thấy; người dùng thường gọi API hồ sơ người khác không nhận được các trường này — có test 2 vai trò</t>
        </is>
      </c>
      <c r="E22" s="37" t="inlineStr">
        <is>
          <t>S5</t>
        </is>
      </c>
      <c r="F22" s="38" t="inlineStr"/>
      <c r="G22" s="37" t="inlineStr"/>
      <c r="H22" s="37" t="inlineStr"/>
      <c r="I22" s="37" t="inlineStr">
        <is>
          <t>Chưa làm</t>
        </is>
      </c>
      <c r="J22" s="38" t="inlineStr"/>
      <c r="K22" s="38" t="inlineStr">
        <is>
          <t>Doc 08 §6</t>
        </is>
      </c>
      <c r="L22" s="38" t="n"/>
      <c r="M22" s="38" t="n"/>
    </row>
    <row r="23" ht="49" customHeight="1">
      <c r="A23" s="37" t="n">
        <v>18</v>
      </c>
      <c r="B23" s="38" t="inlineStr">
        <is>
          <t>DoD bổ sung</t>
        </is>
      </c>
      <c r="C23" s="39" t="inlineStr">
        <is>
          <t>S5-DoD-6</t>
        </is>
      </c>
      <c r="D23" s="38" t="inlineStr">
        <is>
          <t>Hàng đợi kiểm duyệt tính thời gian còn lại của SLA theo bảng ở §5.9: P0 = 2 giờ, P1 = 12 giờ, P2 = 48 giờ, P3 = 72 giờ. Ticket sắp quá hạn nhuộm màu cảnh báo</t>
        </is>
      </c>
      <c r="E23" s="37" t="inlineStr">
        <is>
          <t>S5</t>
        </is>
      </c>
      <c r="F23" s="38" t="inlineStr"/>
      <c r="G23" s="37" t="inlineStr"/>
      <c r="H23" s="37" t="inlineStr"/>
      <c r="I23" s="37" t="inlineStr">
        <is>
          <t>Chưa làm</t>
        </is>
      </c>
      <c r="J23" s="38" t="inlineStr"/>
      <c r="K23" s="38" t="inlineStr">
        <is>
          <t>Doc 08 §6</t>
        </is>
      </c>
      <c r="L23" s="38" t="n"/>
      <c r="M23" s="38" t="n"/>
    </row>
    <row r="24" ht="34" customHeight="1">
      <c r="A24" s="37" t="n">
        <v>19</v>
      </c>
      <c r="B24" s="38" t="inlineStr">
        <is>
          <t>DoD bổ sung</t>
        </is>
      </c>
      <c r="C24" s="39" t="inlineStr">
        <is>
          <t>S5-DoD-7</t>
        </is>
      </c>
      <c r="D24" s="38" t="inlineStr">
        <is>
          <t>Mọi hành động moderator ghi vào moderation_actions bất biến: ai, lúc nào, đối tượng nào, lý do gì, hành động gì</t>
        </is>
      </c>
      <c r="E24" s="37" t="inlineStr">
        <is>
          <t>S5</t>
        </is>
      </c>
      <c r="F24" s="38" t="inlineStr"/>
      <c r="G24" s="37" t="inlineStr"/>
      <c r="H24" s="37" t="inlineStr"/>
      <c r="I24" s="37" t="inlineStr">
        <is>
          <t>Chưa làm</t>
        </is>
      </c>
      <c r="J24" s="38" t="inlineStr"/>
      <c r="K24" s="38" t="inlineStr">
        <is>
          <t>Doc 08 §6</t>
        </is>
      </c>
      <c r="L24" s="38" t="n"/>
      <c r="M24" s="38" t="n"/>
    </row>
    <row r="25" ht="49" customHeight="1">
      <c r="A25" s="37" t="n">
        <v>20</v>
      </c>
      <c r="B25" s="38" t="inlineStr">
        <is>
          <t>DoD bổ sung</t>
        </is>
      </c>
      <c r="C25" s="39" t="inlineStr">
        <is>
          <t>S5-DoD-8</t>
        </is>
      </c>
      <c r="D25" s="38" t="inlineStr">
        <is>
          <t>Chặn hai chiều: A chặn B thì B không thấy nội dung của A, không RSVP vào sự kiện của A, không nhắn được cho A — test cả hai chiều</t>
        </is>
      </c>
      <c r="E25" s="37" t="inlineStr">
        <is>
          <t>S5</t>
        </is>
      </c>
      <c r="F25" s="38" t="inlineStr"/>
      <c r="G25" s="37" t="inlineStr"/>
      <c r="H25" s="37" t="inlineStr"/>
      <c r="I25" s="37" t="inlineStr">
        <is>
          <t>Chưa làm</t>
        </is>
      </c>
      <c r="J25" s="38" t="inlineStr"/>
      <c r="K25" s="38" t="inlineStr">
        <is>
          <t>Doc 08 §6</t>
        </is>
      </c>
      <c r="L25" s="38" t="n"/>
      <c r="M25" s="38" t="n"/>
    </row>
    <row r="26" ht="34" customHeight="1">
      <c r="A26" s="37" t="n">
        <v>21</v>
      </c>
      <c r="B26" s="38" t="inlineStr">
        <is>
          <t>DoD bổ sung</t>
        </is>
      </c>
      <c r="C26" s="39" t="inlineStr">
        <is>
          <t>S5-DoD-9</t>
        </is>
      </c>
      <c r="D26" s="38" t="inlineStr">
        <is>
          <t>Community Guidelines song ngữ đã đăng ở URL công khai, có phiên bản và ngày hiệu lực</t>
        </is>
      </c>
      <c r="E26" s="37" t="inlineStr">
        <is>
          <t>S5</t>
        </is>
      </c>
      <c r="F26" s="38" t="inlineStr"/>
      <c r="G26" s="37" t="inlineStr"/>
      <c r="H26" s="37" t="inlineStr"/>
      <c r="I26" s="37" t="inlineStr">
        <is>
          <t>Chưa làm</t>
        </is>
      </c>
      <c r="J26" s="38" t="inlineStr"/>
      <c r="K26" s="38" t="inlineStr">
        <is>
          <t>Doc 08 §6</t>
        </is>
      </c>
      <c r="L26" s="38" t="n"/>
      <c r="M26" s="38" t="n"/>
    </row>
    <row r="27" ht="34" customHeight="1">
      <c r="A27" s="40" t="n">
        <v>22</v>
      </c>
      <c r="B27" s="41" t="inlineStr">
        <is>
          <t>Nghiệm thu</t>
        </is>
      </c>
      <c r="C27" s="42" t="inlineStr">
        <is>
          <t>M4-1</t>
        </is>
      </c>
      <c r="D27" s="41" t="inlineStr">
        <is>
          <t>Báo cáo hoạt động và báo cáo người dùng đều hoạt động, có phân loại lý do</t>
        </is>
      </c>
      <c r="E27" s="40" t="inlineStr"/>
      <c r="F27" s="41" t="inlineStr"/>
      <c r="G27" s="40" t="inlineStr"/>
      <c r="H27" s="40" t="inlineStr"/>
      <c r="I27" s="40" t="inlineStr">
        <is>
          <t>Chưa làm</t>
        </is>
      </c>
      <c r="J27" s="41" t="inlineStr">
        <is>
          <t>Bằng chứng: Video</t>
        </is>
      </c>
      <c r="K27" s="41" t="inlineStr">
        <is>
          <t>Doc 08 §7</t>
        </is>
      </c>
      <c r="L27" s="41" t="n"/>
      <c r="M27" s="41" t="n"/>
    </row>
    <row r="28" ht="19" customHeight="1">
      <c r="A28" s="40" t="n">
        <v>23</v>
      </c>
      <c r="B28" s="41" t="inlineStr">
        <is>
          <t>Nghiệm thu</t>
        </is>
      </c>
      <c r="C28" s="42" t="inlineStr">
        <is>
          <t>M4-2</t>
        </is>
      </c>
      <c r="D28" s="41" t="inlineStr">
        <is>
          <t>Chặn người dùng có hiệu lực hai chiều</t>
        </is>
      </c>
      <c r="E28" s="40" t="inlineStr"/>
      <c r="F28" s="41" t="inlineStr"/>
      <c r="G28" s="40" t="inlineStr"/>
      <c r="H28" s="40" t="inlineStr"/>
      <c r="I28" s="40" t="inlineStr">
        <is>
          <t>Chưa làm</t>
        </is>
      </c>
      <c r="J28" s="41" t="inlineStr">
        <is>
          <t>Bằng chứng: Test 2 tài khoản</t>
        </is>
      </c>
      <c r="K28" s="41" t="inlineStr">
        <is>
          <t>Doc 08 §7</t>
        </is>
      </c>
      <c r="L28" s="41" t="n"/>
      <c r="M28" s="41" t="n"/>
    </row>
    <row r="29" ht="34" customHeight="1">
      <c r="A29" s="40" t="n">
        <v>24</v>
      </c>
      <c r="B29" s="41" t="inlineStr">
        <is>
          <t>Nghiệm thu</t>
        </is>
      </c>
      <c r="C29" s="42" t="inlineStr">
        <is>
          <t>M4-3</t>
        </is>
      </c>
      <c r="D29" s="41" t="inlineStr">
        <is>
          <t>Hàng đợi kiểm duyệt xếp theo mức nghiêm trọng và thời gian chờ; SLA P0 = 2 giờ hiển thị đồng hồ đếm ngược</t>
        </is>
      </c>
      <c r="E29" s="40" t="inlineStr"/>
      <c r="F29" s="41" t="inlineStr"/>
      <c r="G29" s="40" t="inlineStr"/>
      <c r="H29" s="40" t="inlineStr"/>
      <c r="I29" s="40" t="inlineStr">
        <is>
          <t>Chưa làm</t>
        </is>
      </c>
      <c r="J29" s="41" t="inlineStr">
        <is>
          <t>Bằng chứng: Ảnh giao diện</t>
        </is>
      </c>
      <c r="K29" s="41" t="inlineStr">
        <is>
          <t>Doc 08 §7</t>
        </is>
      </c>
      <c r="L29" s="41" t="n"/>
      <c r="M29" s="41" t="n"/>
    </row>
    <row r="30" ht="34" customHeight="1">
      <c r="A30" s="40" t="n">
        <v>25</v>
      </c>
      <c r="B30" s="41" t="inlineStr">
        <is>
          <t>Nghiệm thu</t>
        </is>
      </c>
      <c r="C30" s="42" t="inlineStr">
        <is>
          <t>M4-4</t>
        </is>
      </c>
      <c r="D30" s="41" t="inlineStr">
        <is>
          <t>Ẩn nội dung / gỡ hoạt động / khoá tài khoản đều ghi moderation_actions bất biến (ai, lúc nào, lý do)</t>
        </is>
      </c>
      <c r="E30" s="40" t="inlineStr"/>
      <c r="F30" s="41" t="inlineStr"/>
      <c r="G30" s="40" t="inlineStr"/>
      <c r="H30" s="40" t="inlineStr"/>
      <c r="I30" s="40" t="inlineStr">
        <is>
          <t>Chưa làm</t>
        </is>
      </c>
      <c r="J30" s="41" t="inlineStr">
        <is>
          <t>Bằng chứng: Truy vấn SQL</t>
        </is>
      </c>
      <c r="K30" s="41" t="inlineStr">
        <is>
          <t>Doc 08 §7</t>
        </is>
      </c>
      <c r="L30" s="41" t="n"/>
      <c r="M30" s="41" t="n"/>
    </row>
    <row r="31" ht="34" customHeight="1">
      <c r="A31" s="40" t="n">
        <v>26</v>
      </c>
      <c r="B31" s="41" t="inlineStr">
        <is>
          <t>Nghiệm thu</t>
        </is>
      </c>
      <c r="C31" s="42" t="inlineStr">
        <is>
          <t>M4-5</t>
        </is>
      </c>
      <c r="D31" s="41" t="inlineStr">
        <is>
          <t>Trust level T0–T5 hiển thị trên hồ sơ với đúng 6 nhãn quy định; tính bằng job trust-level-recompute</t>
        </is>
      </c>
      <c r="E31" s="40" t="inlineStr"/>
      <c r="F31" s="41" t="inlineStr"/>
      <c r="G31" s="40" t="inlineStr"/>
      <c r="H31" s="40" t="inlineStr"/>
      <c r="I31" s="40" t="inlineStr">
        <is>
          <t>Chưa làm</t>
        </is>
      </c>
      <c r="J31" s="41" t="inlineStr">
        <is>
          <t>Bằng chứng: Ảnh 6 hồ sơ mẫu</t>
        </is>
      </c>
      <c r="K31" s="41" t="inlineStr">
        <is>
          <t>Doc 08 §7</t>
        </is>
      </c>
      <c r="L31" s="41" t="n"/>
      <c r="M31" s="41" t="n"/>
    </row>
    <row r="32" ht="34" customHeight="1">
      <c r="A32" s="40" t="n">
        <v>27</v>
      </c>
      <c r="B32" s="41" t="inlineStr">
        <is>
          <t>Nghiệm thu</t>
        </is>
      </c>
      <c r="C32" s="42" t="inlineStr">
        <is>
          <t>M4-6</t>
        </is>
      </c>
      <c r="D32" s="41" t="inlineStr">
        <is>
          <t>Không tồn tại thang điểm 0–100 hay enum new/verified/established/trusted/ambassador trong repo</t>
        </is>
      </c>
      <c r="E32" s="40" t="inlineStr"/>
      <c r="F32" s="41" t="inlineStr"/>
      <c r="G32" s="40" t="inlineStr"/>
      <c r="H32" s="40" t="inlineStr"/>
      <c r="I32" s="40" t="inlineStr">
        <is>
          <t>Chưa làm</t>
        </is>
      </c>
      <c r="J32" s="41" t="inlineStr">
        <is>
          <t>Bằng chứng: Kết quả grep</t>
        </is>
      </c>
      <c r="K32" s="41" t="inlineStr">
        <is>
          <t>Doc 08 §7</t>
        </is>
      </c>
      <c r="L32" s="41" t="n"/>
      <c r="M32" s="41" t="n"/>
    </row>
    <row r="33" ht="34" customHeight="1">
      <c r="A33" s="40" t="n">
        <v>28</v>
      </c>
      <c r="B33" s="41" t="inlineStr">
        <is>
          <t>Nghiệm thu</t>
        </is>
      </c>
      <c r="C33" s="42" t="inlineStr">
        <is>
          <t>M4-7</t>
        </is>
      </c>
      <c r="D33" s="41" t="inlineStr">
        <is>
          <t>Tín hiệu âm chỉ moderator thấy; người dùng thường không đọc được qua API</t>
        </is>
      </c>
      <c r="E33" s="40" t="inlineStr"/>
      <c r="F33" s="41" t="inlineStr"/>
      <c r="G33" s="40" t="inlineStr"/>
      <c r="H33" s="40" t="inlineStr"/>
      <c r="I33" s="40" t="inlineStr">
        <is>
          <t>Chưa làm</t>
        </is>
      </c>
      <c r="J33" s="41" t="inlineStr">
        <is>
          <t>Bằng chứng: Test 2 vai trò</t>
        </is>
      </c>
      <c r="K33" s="41" t="inlineStr">
        <is>
          <t>Doc 08 §7</t>
        </is>
      </c>
      <c r="L33" s="41" t="n"/>
      <c r="M33" s="41" t="n"/>
    </row>
    <row r="34" ht="34" customHeight="1">
      <c r="A34" s="40" t="n">
        <v>29</v>
      </c>
      <c r="B34" s="41" t="inlineStr">
        <is>
          <t>Nghiệm thu</t>
        </is>
      </c>
      <c r="C34" s="42" t="inlineStr">
        <is>
          <t>M4-8</t>
        </is>
      </c>
      <c r="D34" s="41" t="inlineStr">
        <is>
          <t>Community Guidelines và Privacy Policy đã công bố ở URL công khai, song ngữ, có phiên bản và ngày hiệu lực</t>
        </is>
      </c>
      <c r="E34" s="40" t="inlineStr"/>
      <c r="F34" s="41" t="inlineStr"/>
      <c r="G34" s="40" t="inlineStr"/>
      <c r="H34" s="40" t="inlineStr"/>
      <c r="I34" s="40" t="inlineStr">
        <is>
          <t>Chưa làm</t>
        </is>
      </c>
      <c r="J34" s="41" t="inlineStr">
        <is>
          <t>Bằng chứng: Link công khai</t>
        </is>
      </c>
      <c r="K34" s="41" t="inlineStr">
        <is>
          <t>Doc 08 §7</t>
        </is>
      </c>
      <c r="L34" s="41" t="n"/>
      <c r="M34" s="41" t="n"/>
    </row>
    <row r="35" ht="64" customHeight="1">
      <c r="A35" s="40" t="n">
        <v>30</v>
      </c>
      <c r="B35" s="41" t="inlineStr">
        <is>
          <t>Nghiệm thu</t>
        </is>
      </c>
      <c r="C35" s="42" t="inlineStr">
        <is>
          <t>M4-9</t>
        </is>
      </c>
      <c r="D35" s="41" t="inlineStr">
        <is>
          <t>Privacy Policy soạn theo Luật Bảo vệ dữ liệu cá nhân 91/2025/QH15 (hiệu lực từ 01/01/2026), có tham chiếu Nghị định 13/2023/NĐ-CP ở phần lịch sử. CẦN LUẬT SƯ XÁC NHẬN trước khi công bố</t>
        </is>
      </c>
      <c r="E35" s="40" t="inlineStr"/>
      <c r="F35" s="41" t="inlineStr"/>
      <c r="G35" s="40" t="inlineStr"/>
      <c r="H35" s="40" t="inlineStr"/>
      <c r="I35" s="40" t="inlineStr">
        <is>
          <t>Chưa làm</t>
        </is>
      </c>
      <c r="J35" s="41" t="inlineStr">
        <is>
          <t>Bằng chứng: Thư xác nhận của luật sư</t>
        </is>
      </c>
      <c r="K35" s="41" t="inlineStr">
        <is>
          <t>Doc 08 §7</t>
        </is>
      </c>
      <c r="L35" s="41" t="n"/>
      <c r="M35" s="41" t="n"/>
    </row>
    <row r="36" ht="34" customHeight="1">
      <c r="A36" s="43" t="n">
        <v>31</v>
      </c>
      <c r="B36" s="44" t="inlineStr">
        <is>
          <t>Demo</t>
        </is>
      </c>
      <c r="C36" s="45" t="inlineStr">
        <is>
          <t>S5-Demo-1</t>
        </is>
      </c>
      <c r="D36" s="44" t="inlineStr">
        <is>
          <t>Tài khoản A báo cáo sự kiện của B với lý do "lừa đảo" → ticket vào hàng đợi mức P0, đồng hồ SLA 2 giờ bắt đầu chạy</t>
        </is>
      </c>
      <c r="E36" s="43" t="inlineStr">
        <is>
          <t>S5</t>
        </is>
      </c>
      <c r="F36" s="44" t="inlineStr"/>
      <c r="G36" s="43" t="inlineStr"/>
      <c r="H36" s="43" t="inlineStr"/>
      <c r="I36" s="43" t="inlineStr">
        <is>
          <t>Chưa làm</t>
        </is>
      </c>
      <c r="J36" s="44" t="inlineStr"/>
      <c r="K36" s="44" t="inlineStr">
        <is>
          <t>Doc 08 §6</t>
        </is>
      </c>
      <c r="L36" s="44" t="n"/>
      <c r="M36" s="44" t="n"/>
    </row>
    <row r="37" ht="34" customHeight="1">
      <c r="A37" s="43" t="n">
        <v>32</v>
      </c>
      <c r="B37" s="44" t="inlineStr">
        <is>
          <t>Demo</t>
        </is>
      </c>
      <c r="C37" s="45" t="inlineStr">
        <is>
          <t>S5-Demo-2</t>
        </is>
      </c>
      <c r="D37" s="44" t="inlineStr">
        <is>
          <t>Moderator gỡ sự kiện, ghi lý do → sự kiện biến khỏi khám phá ngay, người đã RSVP nhận thông báo huỷ</t>
        </is>
      </c>
      <c r="E37" s="43" t="inlineStr">
        <is>
          <t>S5</t>
        </is>
      </c>
      <c r="F37" s="44" t="inlineStr"/>
      <c r="G37" s="43" t="inlineStr"/>
      <c r="H37" s="43" t="inlineStr"/>
      <c r="I37" s="43" t="inlineStr">
        <is>
          <t>Chưa làm</t>
        </is>
      </c>
      <c r="J37" s="44" t="inlineStr"/>
      <c r="K37" s="44" t="inlineStr">
        <is>
          <t>Doc 08 §6</t>
        </is>
      </c>
      <c r="L37" s="44" t="n"/>
      <c r="M37" s="44" t="n"/>
    </row>
    <row r="38" ht="34" customHeight="1">
      <c r="A38" s="43" t="n">
        <v>33</v>
      </c>
      <c r="B38" s="44" t="inlineStr">
        <is>
          <t>Demo</t>
        </is>
      </c>
      <c r="C38" s="45" t="inlineStr">
        <is>
          <t>S5-Demo-3</t>
        </is>
      </c>
      <c r="D38" s="44" t="inlineStr">
        <is>
          <t>Chạy report_upheld cho B → job recompute chạy ngay, trust_level của B tụt về T2, nhãn trên hồ sơ đổi ngay</t>
        </is>
      </c>
      <c r="E38" s="43" t="inlineStr">
        <is>
          <t>S5</t>
        </is>
      </c>
      <c r="F38" s="44" t="inlineStr"/>
      <c r="G38" s="43" t="inlineStr"/>
      <c r="H38" s="43" t="inlineStr"/>
      <c r="I38" s="43" t="inlineStr">
        <is>
          <t>Chưa làm</t>
        </is>
      </c>
      <c r="J38" s="44" t="inlineStr"/>
      <c r="K38" s="44" t="inlineStr">
        <is>
          <t>Doc 08 §6</t>
        </is>
      </c>
      <c r="L38" s="44" t="n"/>
      <c r="M38" s="44" t="n"/>
    </row>
    <row r="39" ht="34" customHeight="1">
      <c r="A39" s="43" t="n">
        <v>34</v>
      </c>
      <c r="B39" s="44" t="inlineStr">
        <is>
          <t>Demo</t>
        </is>
      </c>
      <c r="C39" s="45" t="inlineStr">
        <is>
          <t>S5-Demo-4</t>
        </is>
      </c>
      <c r="D39" s="44" t="inlineStr">
        <is>
          <t>Tài khoản C xác minh số điện thoại bằng OTP → lên T2 (tính năng OTP giao ở S6, demo bằng seed tín hiệu)</t>
        </is>
      </c>
      <c r="E39" s="43" t="inlineStr">
        <is>
          <t>S5</t>
        </is>
      </c>
      <c r="F39" s="44" t="inlineStr"/>
      <c r="G39" s="43" t="inlineStr"/>
      <c r="H39" s="43" t="inlineStr"/>
      <c r="I39" s="43" t="inlineStr">
        <is>
          <t>Chưa làm</t>
        </is>
      </c>
      <c r="J39" s="44" t="inlineStr"/>
      <c r="K39" s="44" t="inlineStr">
        <is>
          <t>Doc 08 §6</t>
        </is>
      </c>
      <c r="L39" s="44" t="n"/>
      <c r="M39" s="44" t="n"/>
    </row>
    <row r="40" ht="34" customHeight="1">
      <c r="A40" s="43" t="n">
        <v>35</v>
      </c>
      <c r="B40" s="44" t="inlineStr">
        <is>
          <t>Demo</t>
        </is>
      </c>
      <c r="C40" s="45" t="inlineStr">
        <is>
          <t>S5-Demo-5</t>
        </is>
      </c>
      <c r="D40" s="44" t="inlineStr">
        <is>
          <t>Trên iPhone thật, bấm đồng hồ: tạo một hoạt động từ màn hình chính tới lúc đăng — dưới 90 giây</t>
        </is>
      </c>
      <c r="E40" s="43" t="inlineStr">
        <is>
          <t>S5</t>
        </is>
      </c>
      <c r="F40" s="44" t="inlineStr"/>
      <c r="G40" s="43" t="inlineStr"/>
      <c r="H40" s="43" t="inlineStr"/>
      <c r="I40" s="43" t="inlineStr">
        <is>
          <t>Chưa làm</t>
        </is>
      </c>
      <c r="J40" s="44" t="inlineStr"/>
      <c r="K40" s="44" t="inlineStr">
        <is>
          <t>Doc 08 §6</t>
        </is>
      </c>
      <c r="L40" s="44" t="n"/>
      <c r="M40" s="44" t="n"/>
    </row>
    <row r="41" ht="49" customHeight="1">
      <c r="A41" s="49" t="n">
        <v>36</v>
      </c>
      <c r="B41" s="50" t="inlineStr">
        <is>
          <t>Bổ sung từ mockup</t>
        </is>
      </c>
      <c r="C41" s="51" t="inlineStr">
        <is>
          <t>MK-REV-01</t>
        </is>
      </c>
      <c r="D41" s="50" t="inlineStr">
        <is>
          <t>Bảng reviews (chỉ người đã check-in, double-blind, kiểm duyệt qua hàng đợi) + POST /occurrences/{id}/reviews, GET /users/{handle}/reviews.</t>
        </is>
      </c>
      <c r="E41" s="49" t="inlineStr"/>
      <c r="F41" s="50" t="inlineStr">
        <is>
          <t>Backend</t>
        </is>
      </c>
      <c r="G41" s="49" t="inlineStr"/>
      <c r="H41" s="49" t="inlineStr"/>
      <c r="I41" s="49" t="inlineStr">
        <is>
          <t>Chưa làm</t>
        </is>
      </c>
      <c r="J41" s="50" t="inlineStr">
        <is>
          <t>DDL đầy đủ ở doc 03 §8.5.</t>
        </is>
      </c>
      <c r="K41" s="50" t="inlineStr">
        <is>
          <t>Mockup ③ review-write</t>
        </is>
      </c>
      <c r="L41" s="50" t="n"/>
      <c r="M41" s="50" t="n"/>
    </row>
    <row r="42" ht="34" customHeight="1">
      <c r="A42" s="49" t="n">
        <v>37</v>
      </c>
      <c r="B42" s="50" t="inlineStr">
        <is>
          <t>Bổ sung từ mockup</t>
        </is>
      </c>
      <c r="C42" s="51" t="inlineStr">
        <is>
          <t>MK-REV-02</t>
        </is>
      </c>
      <c r="D42" s="50" t="inlineStr">
        <is>
          <t>Khối Reviews trên trang chi tiết (điểm, phân bố sao, "Verified attendee", Helpful, Report) + màn viết review.</t>
        </is>
      </c>
      <c r="E42" s="49" t="inlineStr"/>
      <c r="F42" s="50" t="inlineStr">
        <is>
          <t>Web</t>
        </is>
      </c>
      <c r="G42" s="49" t="inlineStr"/>
      <c r="H42" s="49" t="inlineStr"/>
      <c r="I42" s="49" t="inlineStr">
        <is>
          <t>Chưa làm</t>
        </is>
      </c>
      <c r="J42" s="50" t="inlineStr"/>
      <c r="K42" s="50" t="inlineStr">
        <is>
          <t>Mockup ③ event, review-write</t>
        </is>
      </c>
      <c r="L42" s="50" t="n"/>
      <c r="M42" s="50" t="n"/>
    </row>
  </sheetData>
  <autoFilter ref="A5:M42"/>
  <mergeCells count="4">
    <mergeCell ref="A4:B4"/>
    <mergeCell ref="A3:M3"/>
    <mergeCell ref="A2:M2"/>
    <mergeCell ref="A1:M1"/>
  </mergeCells>
  <conditionalFormatting sqref="I6:I72">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onditionalFormatting>
  <dataValidations count="1">
    <dataValidation sqref="I6:I72" showDropDown="0" showInputMessage="0" showErrorMessage="1" allowBlank="1" errorTitle="Trạng thái không hợp lệ" error="Chọn một trong: Xong, Một phần, Chưa làm, Bị chặn, Cần chốt, Chưa xác nhận" type="list">
      <formula1>"Xong,Một phần,Chưa làm,Bị chặn,Cần chốt,Chưa xác nhận"</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0369A1"/>
    <outlinePr summaryBelow="1" summaryRight="1"/>
    <pageSetUpPr fitToPage="1"/>
  </sheetPr>
  <dimension ref="A1:M58"/>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8" t="inlineStr">
        <is>
          <t>M5 · Beta kín 100 user — chốt 25/12/2026 · Sprint S6, S7</t>
        </is>
      </c>
    </row>
    <row r="2" ht="46" customHeight="1">
      <c r="A2" s="19" t="inlineStr">
        <is>
          <t>Mục tiêu: S6 — Sẵn sàng beta &amp; Curation Console (30/11 – 11/12/2026): Community Manager nhập được sự kiện thật vào hệ thống trong dưới 3 phút, organizer gốc nhận được lời mời tự quản lý listing, và bản build đã nộp lên TestFlight + Play closed testing.
S7 — Vận hành beta kín 100 user (14/12 – 25/12/2026): Một trăm expat thật dùng sản phẩm trong đời thật, và đội nhìn thấy họ dùng như thế nào.</t>
        </is>
      </c>
    </row>
    <row r="3" ht="18" customHeight="1">
      <c r="A3" s="20" t="inlineStr">
        <is>
          <t>Nếu trượt: M5 có 2 tuần đệm tự nhiên (đóng băng cuối năm + S8). Nếu M5-7 trượt vì Play closed testing bắt đầu muộn thì đây là rủi ro chặn M6 — xem §8.3.</t>
        </is>
      </c>
    </row>
    <row r="4" ht="20" customHeight="1">
      <c r="A4" s="21" t="inlineStr">
        <is>
          <t>Tiến độ</t>
        </is>
      </c>
      <c r="B4" s="22" t="n"/>
      <c r="C4" s="22">
        <f>COUNTA($C$6:$C$400)&amp;" mục"</f>
        <v/>
      </c>
      <c r="D4" s="23">
        <f>"Xong: "&amp;COUNTIF($I$6:$I$400,"Xong")</f>
        <v/>
      </c>
      <c r="E4" s="24">
        <f>"Một phần: "&amp;COUNTIF($I$6:$I$400,"Một phần")</f>
        <v/>
      </c>
      <c r="F4" s="25">
        <f>"Chưa làm: "&amp;COUNTIF($I$6:$I$400,"Chưa làm")</f>
        <v/>
      </c>
      <c r="G4" s="26">
        <f>"Bị chặn: "&amp;COUNTIF($I$6:$I$400,"Bị chặn")</f>
        <v/>
      </c>
      <c r="H4" s="27">
        <f>"Cần chốt: "&amp;COUNTIF($I$6:$I$400,"Cần chốt")</f>
        <v/>
      </c>
      <c r="I4" s="28">
        <f>"Chưa xác nhận: "&amp;COUNTIF($I$6:$I$400,"Chưa xác nhận")</f>
        <v/>
      </c>
      <c r="J4" s="29">
        <f>"Tỷ lệ xong: "&amp;TEXT(IFERROR(COUNTIF($I$6:$I$400,"Xong")/COUNTA($C$6:$C$400),0),"0%")</f>
        <v/>
      </c>
      <c r="K4" s="22" t="n"/>
      <c r="L4" s="22" t="n"/>
      <c r="M4" s="22"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19" customHeight="1">
      <c r="A6" s="34" t="n">
        <v>1</v>
      </c>
      <c r="B6" s="35" t="inlineStr">
        <is>
          <t>Story</t>
        </is>
      </c>
      <c r="C6" s="36" t="inlineStr">
        <is>
          <t>E9-S2</t>
        </is>
      </c>
      <c r="D6" s="35" t="inlineStr">
        <is>
          <t>Nhập sự kiện công khai vào hệ thống &lt; 3 phút, có ghi nguồn</t>
        </is>
      </c>
      <c r="E6" s="34" t="inlineStr">
        <is>
          <t>S6</t>
        </is>
      </c>
      <c r="F6" s="35" t="inlineStr">
        <is>
          <t>Web + Backend</t>
        </is>
      </c>
      <c r="G6" s="34" t="n">
        <v>8</v>
      </c>
      <c r="H6" s="34" t="inlineStr">
        <is>
          <t>MUST</t>
        </is>
      </c>
      <c r="I6" s="34" t="inlineStr">
        <is>
          <t>Chưa làm</t>
        </is>
      </c>
      <c r="J6" s="35" t="inlineStr"/>
      <c r="K6" s="35" t="inlineStr">
        <is>
          <t>Doc 08 §6</t>
        </is>
      </c>
      <c r="L6" s="35" t="n"/>
      <c r="M6" s="35" t="n"/>
    </row>
    <row r="7" ht="19" customHeight="1">
      <c r="A7" s="34" t="n">
        <v>2</v>
      </c>
      <c r="B7" s="35" t="inlineStr">
        <is>
          <t>Story</t>
        </is>
      </c>
      <c r="C7" s="36" t="inlineStr">
        <is>
          <t>E9-S3</t>
        </is>
      </c>
      <c r="D7" s="35" t="inlineStr">
        <is>
          <t>Lời mời organizer gốc nhận quyền quản lý listing</t>
        </is>
      </c>
      <c r="E7" s="34" t="inlineStr">
        <is>
          <t>S6</t>
        </is>
      </c>
      <c r="F7" s="35" t="inlineStr">
        <is>
          <t>Backend + Web</t>
        </is>
      </c>
      <c r="G7" s="34" t="n">
        <v>8</v>
      </c>
      <c r="H7" s="34" t="inlineStr">
        <is>
          <t>MUST</t>
        </is>
      </c>
      <c r="I7" s="34" t="inlineStr">
        <is>
          <t>Chưa làm</t>
        </is>
      </c>
      <c r="J7" s="35" t="inlineStr"/>
      <c r="K7" s="35" t="inlineStr">
        <is>
          <t>Doc 08 §6</t>
        </is>
      </c>
      <c r="L7" s="35" t="n"/>
      <c r="M7" s="35" t="n"/>
    </row>
    <row r="8" ht="19" customHeight="1">
      <c r="A8" s="34" t="n">
        <v>3</v>
      </c>
      <c r="B8" s="35" t="inlineStr">
        <is>
          <t>Story</t>
        </is>
      </c>
      <c r="C8" s="36" t="inlineStr">
        <is>
          <t>E9-S4</t>
        </is>
      </c>
      <c r="D8" s="35" t="inlineStr">
        <is>
          <t>Quản lý người dùng, khu vực, loại hình hoạt động</t>
        </is>
      </c>
      <c r="E8" s="34" t="inlineStr">
        <is>
          <t>S6</t>
        </is>
      </c>
      <c r="F8" s="35" t="inlineStr">
        <is>
          <t>Web</t>
        </is>
      </c>
      <c r="G8" s="34" t="n">
        <v>5</v>
      </c>
      <c r="H8" s="34" t="inlineStr">
        <is>
          <t>MUST</t>
        </is>
      </c>
      <c r="I8" s="34" t="inlineStr">
        <is>
          <t>Chưa làm</t>
        </is>
      </c>
      <c r="J8" s="35" t="inlineStr"/>
      <c r="K8" s="35" t="inlineStr">
        <is>
          <t>Doc 08 §6</t>
        </is>
      </c>
      <c r="L8" s="35" t="n"/>
      <c r="M8" s="35" t="n"/>
    </row>
    <row r="9" ht="19" customHeight="1">
      <c r="A9" s="34" t="n">
        <v>4</v>
      </c>
      <c r="B9" s="35" t="inlineStr">
        <is>
          <t>Story</t>
        </is>
      </c>
      <c r="C9" s="36" t="inlineStr">
        <is>
          <t>E9-S5</t>
        </is>
      </c>
      <c r="D9" s="35" t="inlineStr">
        <is>
          <t>Bảng điều khiển vận hành cho Founder</t>
        </is>
      </c>
      <c r="E9" s="34" t="inlineStr">
        <is>
          <t>S6</t>
        </is>
      </c>
      <c r="F9" s="35" t="inlineStr">
        <is>
          <t>Web</t>
        </is>
      </c>
      <c r="G9" s="34" t="n">
        <v>8</v>
      </c>
      <c r="H9" s="34" t="inlineStr">
        <is>
          <t>MUST</t>
        </is>
      </c>
      <c r="I9" s="34" t="inlineStr">
        <is>
          <t>Chưa làm</t>
        </is>
      </c>
      <c r="J9" s="35" t="inlineStr"/>
      <c r="K9" s="35" t="inlineStr">
        <is>
          <t>Doc 08 §6</t>
        </is>
      </c>
      <c r="L9" s="35" t="n"/>
      <c r="M9" s="35" t="n"/>
    </row>
    <row r="10" ht="19" customHeight="1">
      <c r="A10" s="34" t="n">
        <v>5</v>
      </c>
      <c r="B10" s="35" t="inlineStr">
        <is>
          <t>Story</t>
        </is>
      </c>
      <c r="C10" s="36" t="inlineStr">
        <is>
          <t>E6-S5</t>
        </is>
      </c>
      <c r="D10" s="35" t="inlineStr">
        <is>
          <t>Điểm danh tại chỗ bằng mã QR</t>
        </is>
      </c>
      <c r="E10" s="34" t="inlineStr">
        <is>
          <t>S6</t>
        </is>
      </c>
      <c r="F10" s="35" t="inlineStr">
        <is>
          <t>Backend + Mobile</t>
        </is>
      </c>
      <c r="G10" s="34" t="n">
        <v>8</v>
      </c>
      <c r="H10" s="34" t="inlineStr">
        <is>
          <t>MUST</t>
        </is>
      </c>
      <c r="I10" s="34" t="inlineStr">
        <is>
          <t>Chưa làm</t>
        </is>
      </c>
      <c r="J10" s="35" t="inlineStr"/>
      <c r="K10" s="35" t="inlineStr">
        <is>
          <t>Doc 08 §6</t>
        </is>
      </c>
      <c r="L10" s="35" t="n"/>
      <c r="M10" s="35" t="n"/>
    </row>
    <row r="11" ht="19" customHeight="1">
      <c r="A11" s="34" t="n">
        <v>6</v>
      </c>
      <c r="B11" s="35" t="inlineStr">
        <is>
          <t>Story</t>
        </is>
      </c>
      <c r="C11" s="36" t="inlineStr">
        <is>
          <t>E6-S6</t>
        </is>
      </c>
      <c r="D11" s="35" t="inlineStr">
        <is>
          <t>Ghi no_show_recorded vào trust_signals</t>
        </is>
      </c>
      <c r="E11" s="34" t="inlineStr">
        <is>
          <t>S6</t>
        </is>
      </c>
      <c r="F11" s="35" t="inlineStr">
        <is>
          <t>Backend</t>
        </is>
      </c>
      <c r="G11" s="34" t="n">
        <v>5</v>
      </c>
      <c r="H11" s="34" t="inlineStr">
        <is>
          <t>MUST</t>
        </is>
      </c>
      <c r="I11" s="34" t="inlineStr">
        <is>
          <t>Chưa làm</t>
        </is>
      </c>
      <c r="J11" s="35" t="inlineStr"/>
      <c r="K11" s="35" t="inlineStr">
        <is>
          <t>Doc 08 §6</t>
        </is>
      </c>
      <c r="L11" s="35" t="n"/>
      <c r="M11" s="35" t="n"/>
    </row>
    <row r="12" ht="19" customHeight="1">
      <c r="A12" s="34" t="n">
        <v>7</v>
      </c>
      <c r="B12" s="35" t="inlineStr">
        <is>
          <t>Story</t>
        </is>
      </c>
      <c r="C12" s="36" t="inlineStr">
        <is>
          <t>E3-S6</t>
        </is>
      </c>
      <c r="D12" s="35" t="inlineStr">
        <is>
          <t>Xác minh số điện thoại bằng OTP</t>
        </is>
      </c>
      <c r="E12" s="34" t="inlineStr">
        <is>
          <t>S6</t>
        </is>
      </c>
      <c r="F12" s="35" t="inlineStr">
        <is>
          <t>Backend</t>
        </is>
      </c>
      <c r="G12" s="34" t="n">
        <v>5</v>
      </c>
      <c r="H12" s="34" t="inlineStr">
        <is>
          <t>MUST</t>
        </is>
      </c>
      <c r="I12" s="34" t="inlineStr">
        <is>
          <t>Chưa làm</t>
        </is>
      </c>
      <c r="J12" s="35" t="inlineStr"/>
      <c r="K12" s="35" t="inlineStr">
        <is>
          <t>Doc 08 §6</t>
        </is>
      </c>
      <c r="L12" s="35" t="n"/>
      <c r="M12" s="35" t="n"/>
    </row>
    <row r="13" ht="34" customHeight="1">
      <c r="A13" s="34" t="n">
        <v>8</v>
      </c>
      <c r="B13" s="35" t="inlineStr">
        <is>
          <t>Story</t>
        </is>
      </c>
      <c r="C13" s="36" t="inlineStr">
        <is>
          <t>E8-S6</t>
        </is>
      </c>
      <c r="D13" s="35" t="inlineStr">
        <is>
          <t>Chống spam: trần số hoạt động/ngày, lọc từ khoá, chặn link đáng ngờ</t>
        </is>
      </c>
      <c r="E13" s="34" t="inlineStr">
        <is>
          <t>S6</t>
        </is>
      </c>
      <c r="F13" s="35" t="inlineStr">
        <is>
          <t>Backend</t>
        </is>
      </c>
      <c r="G13" s="34" t="n">
        <v>5</v>
      </c>
      <c r="H13" s="34" t="inlineStr">
        <is>
          <t>MUST</t>
        </is>
      </c>
      <c r="I13" s="34" t="inlineStr">
        <is>
          <t>Chưa làm</t>
        </is>
      </c>
      <c r="J13" s="35" t="inlineStr"/>
      <c r="K13" s="35" t="inlineStr">
        <is>
          <t>Doc 08 §6</t>
        </is>
      </c>
      <c r="L13" s="35" t="n"/>
      <c r="M13" s="35" t="n"/>
    </row>
    <row r="14" ht="19" customHeight="1">
      <c r="A14" s="34" t="n">
        <v>9</v>
      </c>
      <c r="B14" s="35" t="inlineStr">
        <is>
          <t>Story</t>
        </is>
      </c>
      <c r="C14" s="36" t="inlineStr">
        <is>
          <t>E8-S7</t>
        </is>
      </c>
      <c r="D14" s="35" t="inlineStr">
        <is>
          <t>Xuất dữ liệu cá nhân + yêu cầu xoá tài khoản</t>
        </is>
      </c>
      <c r="E14" s="34" t="inlineStr">
        <is>
          <t>S6</t>
        </is>
      </c>
      <c r="F14" s="35" t="inlineStr">
        <is>
          <t>Backend</t>
        </is>
      </c>
      <c r="G14" s="34" t="n">
        <v>5</v>
      </c>
      <c r="H14" s="34" t="inlineStr">
        <is>
          <t>MUST</t>
        </is>
      </c>
      <c r="I14" s="34" t="inlineStr">
        <is>
          <t>Chưa làm</t>
        </is>
      </c>
      <c r="J14" s="35" t="inlineStr"/>
      <c r="K14" s="35" t="inlineStr">
        <is>
          <t>Doc 08 §6</t>
        </is>
      </c>
      <c r="L14" s="35" t="n"/>
      <c r="M14" s="35" t="n"/>
    </row>
    <row r="15" ht="19" customHeight="1">
      <c r="A15" s="34" t="n">
        <v>10</v>
      </c>
      <c r="B15" s="35" t="inlineStr">
        <is>
          <t>Story</t>
        </is>
      </c>
      <c r="C15" s="36" t="inlineStr">
        <is>
          <t>E12-S2</t>
        </is>
      </c>
      <c r="D15" s="35" t="inlineStr">
        <is>
          <t>Icon, splash, ảnh cửa hàng</t>
        </is>
      </c>
      <c r="E15" s="34" t="inlineStr">
        <is>
          <t>S6</t>
        </is>
      </c>
      <c r="F15" s="35" t="inlineStr">
        <is>
          <t>Designer</t>
        </is>
      </c>
      <c r="G15" s="34" t="n">
        <v>3</v>
      </c>
      <c r="H15" s="34" t="inlineStr">
        <is>
          <t>MUST</t>
        </is>
      </c>
      <c r="I15" s="34" t="inlineStr">
        <is>
          <t>Chưa làm</t>
        </is>
      </c>
      <c r="J15" s="35" t="inlineStr"/>
      <c r="K15" s="35" t="inlineStr">
        <is>
          <t>Doc 08 §6</t>
        </is>
      </c>
      <c r="L15" s="35" t="n"/>
      <c r="M15" s="35" t="n"/>
    </row>
    <row r="16" ht="19" customHeight="1">
      <c r="A16" s="34" t="n">
        <v>11</v>
      </c>
      <c r="B16" s="35" t="inlineStr">
        <is>
          <t>Story</t>
        </is>
      </c>
      <c r="C16" s="36" t="inlineStr">
        <is>
          <t>E12-S3</t>
        </is>
      </c>
      <c r="D16" s="35" t="inlineStr">
        <is>
          <t>TestFlight + Play closed testing</t>
        </is>
      </c>
      <c r="E16" s="34" t="inlineStr">
        <is>
          <t>S6</t>
        </is>
      </c>
      <c r="F16" s="35" t="inlineStr">
        <is>
          <t>Mobile</t>
        </is>
      </c>
      <c r="G16" s="34" t="n">
        <v>5</v>
      </c>
      <c r="H16" s="34" t="inlineStr">
        <is>
          <t>MUST</t>
        </is>
      </c>
      <c r="I16" s="34" t="inlineStr">
        <is>
          <t>Chưa làm</t>
        </is>
      </c>
      <c r="J16" s="35" t="inlineStr"/>
      <c r="K16" s="35" t="inlineStr">
        <is>
          <t>Doc 08 §6</t>
        </is>
      </c>
      <c r="L16" s="35" t="n"/>
      <c r="M16" s="35" t="n"/>
    </row>
    <row r="17" ht="19" customHeight="1">
      <c r="A17" s="34" t="n">
        <v>12</v>
      </c>
      <c r="B17" s="35" t="inlineStr">
        <is>
          <t>Story</t>
        </is>
      </c>
      <c r="C17" s="36" t="inlineStr">
        <is>
          <t>E12-S5</t>
        </is>
      </c>
      <c r="D17" s="35" t="inlineStr">
        <is>
          <t>EAS Update để vá nhanh không cần chờ duyệt</t>
        </is>
      </c>
      <c r="E17" s="34" t="inlineStr">
        <is>
          <t>S6</t>
        </is>
      </c>
      <c r="F17" s="35" t="inlineStr">
        <is>
          <t>Mobile</t>
        </is>
      </c>
      <c r="G17" s="34" t="n">
        <v>3</v>
      </c>
      <c r="H17" s="34" t="inlineStr">
        <is>
          <t>MUST</t>
        </is>
      </c>
      <c r="I17" s="34" t="inlineStr">
        <is>
          <t>Chưa làm</t>
        </is>
      </c>
      <c r="J17" s="35" t="inlineStr"/>
      <c r="K17" s="35" t="inlineStr">
        <is>
          <t>Doc 08 §6</t>
        </is>
      </c>
      <c r="L17" s="35" t="n"/>
      <c r="M17" s="35" t="n"/>
    </row>
    <row r="18" ht="19" customHeight="1">
      <c r="A18" s="34" t="n">
        <v>13</v>
      </c>
      <c r="B18" s="35" t="inlineStr">
        <is>
          <t>Story</t>
        </is>
      </c>
      <c r="C18" s="36" t="inlineStr">
        <is>
          <t>E11-S1</t>
        </is>
      </c>
      <c r="D18" s="35" t="inlineStr">
        <is>
          <t>Lược đồ sự kiện phân tích thống nhất web + mobile</t>
        </is>
      </c>
      <c r="E18" s="34" t="inlineStr">
        <is>
          <t>S7</t>
        </is>
      </c>
      <c r="F18" s="35" t="inlineStr">
        <is>
          <t>Backend</t>
        </is>
      </c>
      <c r="G18" s="34" t="n">
        <v>5</v>
      </c>
      <c r="H18" s="34" t="inlineStr">
        <is>
          <t>MUST</t>
        </is>
      </c>
      <c r="I18" s="34" t="inlineStr">
        <is>
          <t>Chưa làm</t>
        </is>
      </c>
      <c r="J18" s="35" t="inlineStr"/>
      <c r="K18" s="35" t="inlineStr">
        <is>
          <t>Doc 08 §6</t>
        </is>
      </c>
      <c r="L18" s="35" t="n"/>
      <c r="M18" s="35" t="n"/>
    </row>
    <row r="19" ht="19" customHeight="1">
      <c r="A19" s="34" t="n">
        <v>14</v>
      </c>
      <c r="B19" s="35" t="inlineStr">
        <is>
          <t>Story</t>
        </is>
      </c>
      <c r="C19" s="36" t="inlineStr">
        <is>
          <t>E6-S4</t>
        </is>
      </c>
      <c r="D19" s="35" t="inlineStr">
        <is>
          <t>Xem danh sách người tham gia trong giới hạn quyền riêng tư</t>
        </is>
      </c>
      <c r="E19" s="34" t="inlineStr">
        <is>
          <t>S7</t>
        </is>
      </c>
      <c r="F19" s="35" t="inlineStr">
        <is>
          <t>Backend</t>
        </is>
      </c>
      <c r="G19" s="34" t="n">
        <v>5</v>
      </c>
      <c r="H19" s="34" t="inlineStr">
        <is>
          <t>SHOULD</t>
        </is>
      </c>
      <c r="I19" s="34" t="inlineStr">
        <is>
          <t>Chưa làm</t>
        </is>
      </c>
      <c r="J19" s="35" t="inlineStr"/>
      <c r="K19" s="35" t="inlineStr">
        <is>
          <t>Doc 08 §6</t>
        </is>
      </c>
      <c r="L19" s="35" t="n"/>
      <c r="M19" s="35" t="n"/>
    </row>
    <row r="20" ht="19" customHeight="1">
      <c r="A20" s="34" t="n">
        <v>15</v>
      </c>
      <c r="B20" s="35" t="inlineStr">
        <is>
          <t>Story</t>
        </is>
      </c>
      <c r="C20" s="36" t="inlineStr">
        <is>
          <t>E5-S9</t>
        </is>
      </c>
      <c r="D20" s="35" t="inlineStr">
        <is>
          <t>"Tuần này có gì" ngay trên màn hình đầu</t>
        </is>
      </c>
      <c r="E20" s="34" t="inlineStr">
        <is>
          <t>S7</t>
        </is>
      </c>
      <c r="F20" s="35" t="inlineStr">
        <is>
          <t>Web + Mobile</t>
        </is>
      </c>
      <c r="G20" s="34" t="n">
        <v>5</v>
      </c>
      <c r="H20" s="34" t="inlineStr">
        <is>
          <t>MUST</t>
        </is>
      </c>
      <c r="I20" s="34" t="inlineStr">
        <is>
          <t>Chưa làm</t>
        </is>
      </c>
      <c r="J20" s="35" t="inlineStr"/>
      <c r="K20" s="35" t="inlineStr">
        <is>
          <t>Doc 08 §6</t>
        </is>
      </c>
      <c r="L20" s="35" t="n"/>
      <c r="M20" s="35" t="n"/>
    </row>
    <row r="21" ht="19" customHeight="1">
      <c r="A21" s="34" t="n">
        <v>16</v>
      </c>
      <c r="B21" s="35" t="inlineStr">
        <is>
          <t>Story</t>
        </is>
      </c>
      <c r="C21" s="36" t="inlineStr">
        <is>
          <t>E7-S7</t>
        </is>
      </c>
      <c r="D21" s="35" t="inlineStr">
        <is>
          <t>Tắt riêng từng loại thông báo</t>
        </is>
      </c>
      <c r="E21" s="34" t="inlineStr">
        <is>
          <t>S7</t>
        </is>
      </c>
      <c r="F21" s="35" t="inlineStr">
        <is>
          <t>Web + Mobile</t>
        </is>
      </c>
      <c r="G21" s="34" t="n">
        <v>5</v>
      </c>
      <c r="H21" s="34" t="inlineStr">
        <is>
          <t>SHOULD</t>
        </is>
      </c>
      <c r="I21" s="34" t="inlineStr">
        <is>
          <t>Chưa làm</t>
        </is>
      </c>
      <c r="J21" s="35" t="inlineStr"/>
      <c r="K21" s="35" t="inlineStr">
        <is>
          <t>Doc 08 §6</t>
        </is>
      </c>
      <c r="L21" s="35" t="n"/>
      <c r="M21" s="35" t="n"/>
    </row>
    <row r="22" ht="19" customHeight="1">
      <c r="A22" s="34" t="n">
        <v>17</v>
      </c>
      <c r="B22" s="35" t="inlineStr">
        <is>
          <t>Story</t>
        </is>
      </c>
      <c r="C22" s="36" t="inlineStr">
        <is>
          <t>E6-S9</t>
        </is>
      </c>
      <c r="D22" s="35" t="inlineStr">
        <is>
          <t>Xuất danh sách người tham gia ra CSV</t>
        </is>
      </c>
      <c r="E22" s="34" t="inlineStr">
        <is>
          <t>S7</t>
        </is>
      </c>
      <c r="F22" s="35" t="inlineStr">
        <is>
          <t>Web</t>
        </is>
      </c>
      <c r="G22" s="34" t="n">
        <v>3</v>
      </c>
      <c r="H22" s="34" t="inlineStr">
        <is>
          <t>SHOULD</t>
        </is>
      </c>
      <c r="I22" s="34" t="inlineStr">
        <is>
          <t>Chưa làm</t>
        </is>
      </c>
      <c r="J22" s="35" t="inlineStr"/>
      <c r="K22" s="35" t="inlineStr">
        <is>
          <t>Doc 08 §6</t>
        </is>
      </c>
      <c r="L22" s="35" t="n"/>
      <c r="M22" s="35" t="n"/>
    </row>
    <row r="23" ht="19" customHeight="1">
      <c r="A23" s="34" t="n">
        <v>18</v>
      </c>
      <c r="B23" s="35" t="inlineStr">
        <is>
          <t>Story</t>
        </is>
      </c>
      <c r="C23" s="36" t="inlineStr">
        <is>
          <t>E10-S3</t>
        </is>
      </c>
      <c r="D23" s="35" t="inlineStr">
        <is>
          <t>About / FAQ / Community Guidelines song ngữ</t>
        </is>
      </c>
      <c r="E23" s="34" t="inlineStr">
        <is>
          <t>S7</t>
        </is>
      </c>
      <c r="F23" s="35" t="inlineStr">
        <is>
          <t>Community Manager</t>
        </is>
      </c>
      <c r="G23" s="34" t="n">
        <v>3</v>
      </c>
      <c r="H23" s="34" t="inlineStr">
        <is>
          <t>MUST</t>
        </is>
      </c>
      <c r="I23" s="34" t="inlineStr">
        <is>
          <t>Chưa làm</t>
        </is>
      </c>
      <c r="J23" s="35" t="inlineStr"/>
      <c r="K23" s="35" t="inlineStr">
        <is>
          <t>Doc 08 §6</t>
        </is>
      </c>
      <c r="L23" s="35" t="n"/>
      <c r="M23" s="35" t="n"/>
    </row>
    <row r="24" ht="49" customHeight="1">
      <c r="A24" s="37" t="n">
        <v>19</v>
      </c>
      <c r="B24" s="38" t="inlineStr">
        <is>
          <t>DoD bổ sung</t>
        </is>
      </c>
      <c r="C24" s="39" t="inlineStr">
        <is>
          <t>S6-DoD-1</t>
        </is>
      </c>
      <c r="D24" s="38" t="inlineStr">
        <is>
          <t>Bấm đồng hồ: Community Manager nhập một sự kiện thật từ một bài đăng công khai → ≤ 3 phút, đo trên 5 sự kiện khác nhau, lấy trung vị</t>
        </is>
      </c>
      <c r="E24" s="37" t="inlineStr">
        <is>
          <t>S6</t>
        </is>
      </c>
      <c r="F24" s="38" t="inlineStr"/>
      <c r="G24" s="37" t="inlineStr"/>
      <c r="H24" s="37" t="inlineStr"/>
      <c r="I24" s="37" t="inlineStr">
        <is>
          <t>Chưa làm</t>
        </is>
      </c>
      <c r="J24" s="38" t="inlineStr"/>
      <c r="K24" s="38" t="inlineStr">
        <is>
          <t>Doc 08 §6</t>
        </is>
      </c>
      <c r="L24" s="38" t="n"/>
      <c r="M24" s="38" t="n"/>
    </row>
    <row r="25" ht="64" customHeight="1">
      <c r="A25" s="37" t="n">
        <v>20</v>
      </c>
      <c r="B25" s="38" t="inlineStr">
        <is>
          <t>DoD bổ sung</t>
        </is>
      </c>
      <c r="C25" s="39" t="inlineStr">
        <is>
          <t>S6-DoD-2</t>
        </is>
      </c>
      <c r="D25" s="38" t="inlineStr">
        <is>
          <t>Mọi listing curate bắt buộc có: source = 'curated', trường nguồn gốc, nhãn hiển thị "Listed by Da Nang Connect from a public post — not managed by the organiser", và nút gỡ ngay trên trang công khai</t>
        </is>
      </c>
      <c r="E25" s="37" t="inlineStr">
        <is>
          <t>S6</t>
        </is>
      </c>
      <c r="F25" s="38" t="inlineStr"/>
      <c r="G25" s="37" t="inlineStr"/>
      <c r="H25" s="37" t="inlineStr"/>
      <c r="I25" s="37" t="inlineStr">
        <is>
          <t>Chưa làm</t>
        </is>
      </c>
      <c r="J25" s="38" t="inlineStr"/>
      <c r="K25" s="38" t="inlineStr">
        <is>
          <t>Doc 08 §6</t>
        </is>
      </c>
      <c r="L25" s="38" t="n"/>
      <c r="M25" s="38" t="n"/>
    </row>
    <row r="26" ht="49" customHeight="1">
      <c r="A26" s="37" t="n">
        <v>21</v>
      </c>
      <c r="B26" s="38" t="inlineStr">
        <is>
          <t>DoD bổ sung</t>
        </is>
      </c>
      <c r="C26" s="39" t="inlineStr">
        <is>
          <t>S6-DoD-3</t>
        </is>
      </c>
      <c r="D26" s="38" t="inlineStr">
        <is>
          <t>Không có chức năng scraping nào trong repo. grep -rniE "puppeteer|playwright-scrape|cheerio|scrape" trong apps/api phải rỗng (trừ dev-dependency test)</t>
        </is>
      </c>
      <c r="E26" s="37" t="inlineStr">
        <is>
          <t>S6</t>
        </is>
      </c>
      <c r="F26" s="38" t="inlineStr"/>
      <c r="G26" s="37" t="inlineStr"/>
      <c r="H26" s="37" t="inlineStr"/>
      <c r="I26" s="37" t="inlineStr">
        <is>
          <t>Chưa làm</t>
        </is>
      </c>
      <c r="J26" s="38" t="inlineStr"/>
      <c r="K26" s="38" t="inlineStr">
        <is>
          <t>Doc 08 §6</t>
        </is>
      </c>
      <c r="L26" s="38" t="n"/>
      <c r="M26" s="38" t="n"/>
    </row>
    <row r="27" ht="64" customHeight="1">
      <c r="A27" s="37" t="n">
        <v>22</v>
      </c>
      <c r="B27" s="38" t="inlineStr">
        <is>
          <t>DoD bổ sung</t>
        </is>
      </c>
      <c r="C27" s="39" t="inlineStr">
        <is>
          <t>S6-DoD-4</t>
        </is>
      </c>
      <c r="D27" s="38" t="inlineStr">
        <is>
          <t>Luồng nhận quyền: mã mời một lần, hết hạn 14 ngày, dùng rồi vô hiệu; nhận quyền xong source đổi curated → self_serve, host_user_id chuyển sang organizer thật, người curate cũ chuyển thành event_cohosts với role_in_event = 'listed_by'</t>
        </is>
      </c>
      <c r="E27" s="37" t="inlineStr">
        <is>
          <t>S6</t>
        </is>
      </c>
      <c r="F27" s="38" t="inlineStr"/>
      <c r="G27" s="37" t="inlineStr"/>
      <c r="H27" s="37" t="inlineStr"/>
      <c r="I27" s="37" t="inlineStr">
        <is>
          <t>Chưa làm</t>
        </is>
      </c>
      <c r="J27" s="38" t="inlineStr"/>
      <c r="K27" s="38" t="inlineStr">
        <is>
          <t>Doc 08 §6</t>
        </is>
      </c>
      <c r="L27" s="38" t="n"/>
      <c r="M27" s="38" t="n"/>
    </row>
    <row r="28" ht="49" customHeight="1">
      <c r="A28" s="37" t="n">
        <v>23</v>
      </c>
      <c r="B28" s="38" t="inlineStr">
        <is>
          <t>DoD bổ sung</t>
        </is>
      </c>
      <c r="C28" s="39" t="inlineStr">
        <is>
          <t>S6-DoD-5</t>
        </is>
      </c>
      <c r="D28" s="38" t="inlineStr">
        <is>
          <t>Điểm danh QR: mã xoay theo thời gian, không dùng lại được; quét xong rsvps.status = checked_in và sinh tín hiệu attendance_confirmed</t>
        </is>
      </c>
      <c r="E28" s="37" t="inlineStr">
        <is>
          <t>S6</t>
        </is>
      </c>
      <c r="F28" s="38" t="inlineStr"/>
      <c r="G28" s="37" t="inlineStr"/>
      <c r="H28" s="37" t="inlineStr"/>
      <c r="I28" s="37" t="inlineStr">
        <is>
          <t>Chưa làm</t>
        </is>
      </c>
      <c r="J28" s="38" t="inlineStr"/>
      <c r="K28" s="38" t="inlineStr">
        <is>
          <t>Doc 08 §6</t>
        </is>
      </c>
      <c r="L28" s="38" t="n"/>
      <c r="M28" s="38" t="n"/>
    </row>
    <row r="29" ht="34" customHeight="1">
      <c r="A29" s="37" t="n">
        <v>24</v>
      </c>
      <c r="B29" s="38" t="inlineStr">
        <is>
          <t>DoD bổ sung</t>
        </is>
      </c>
      <c r="C29" s="39" t="inlineStr">
        <is>
          <t>S6-DoD-6</t>
        </is>
      </c>
      <c r="D29" s="38" t="inlineStr">
        <is>
          <t>Job đóng occurrence chạy T+3h sau ends_at: ai going mà không checked_in → no_show, sinh no_show_recorded</t>
        </is>
      </c>
      <c r="E29" s="37" t="inlineStr">
        <is>
          <t>S6</t>
        </is>
      </c>
      <c r="F29" s="38" t="inlineStr"/>
      <c r="G29" s="37" t="inlineStr"/>
      <c r="H29" s="37" t="inlineStr"/>
      <c r="I29" s="37" t="inlineStr">
        <is>
          <t>Chưa làm</t>
        </is>
      </c>
      <c r="J29" s="38" t="inlineStr"/>
      <c r="K29" s="38" t="inlineStr">
        <is>
          <t>Doc 08 §6</t>
        </is>
      </c>
      <c r="L29" s="38" t="n"/>
      <c r="M29" s="38" t="n"/>
    </row>
    <row r="30" ht="64" customHeight="1">
      <c r="A30" s="37" t="n">
        <v>25</v>
      </c>
      <c r="B30" s="38" t="inlineStr">
        <is>
          <t>DoD bổ sung</t>
        </is>
      </c>
      <c r="C30" s="39" t="inlineStr">
        <is>
          <t>S6-DoD-7</t>
        </is>
      </c>
      <c r="D30" s="38" t="inlineStr">
        <is>
          <t>Xuất &amp; xoá dữ liệu (E8-S7) phải xong trước ngày mở beta. Xuất trả gói JSON + ảnh trong ≤ 72 giờ; xoá thực hiện xoá cứng dữ liệu định danh và giữ bản ghi ẩn danh cho thống kê, có mô tả trong Privacy Policy</t>
        </is>
      </c>
      <c r="E30" s="37" t="inlineStr">
        <is>
          <t>S6</t>
        </is>
      </c>
      <c r="F30" s="38" t="inlineStr"/>
      <c r="G30" s="37" t="inlineStr"/>
      <c r="H30" s="37" t="inlineStr"/>
      <c r="I30" s="37" t="inlineStr">
        <is>
          <t>Chưa làm</t>
        </is>
      </c>
      <c r="J30" s="38" t="inlineStr"/>
      <c r="K30" s="38" t="inlineStr">
        <is>
          <t>Doc 08 §6</t>
        </is>
      </c>
      <c r="L30" s="38" t="n"/>
      <c r="M30" s="38" t="n"/>
    </row>
    <row r="31" ht="34" customHeight="1">
      <c r="A31" s="37" t="n">
        <v>26</v>
      </c>
      <c r="B31" s="38" t="inlineStr">
        <is>
          <t>DoD bổ sung</t>
        </is>
      </c>
      <c r="C31" s="39" t="inlineStr">
        <is>
          <t>S6-DoD-8</t>
        </is>
      </c>
      <c r="D31" s="38" t="inlineStr">
        <is>
          <t>OTP: giới hạn 5 lần gửi/số/ngày, mã 6 số, hết hạn 5 phút, chống brute-force</t>
        </is>
      </c>
      <c r="E31" s="37" t="inlineStr">
        <is>
          <t>S6</t>
        </is>
      </c>
      <c r="F31" s="38" t="inlineStr"/>
      <c r="G31" s="37" t="inlineStr"/>
      <c r="H31" s="37" t="inlineStr"/>
      <c r="I31" s="37" t="inlineStr">
        <is>
          <t>Chưa làm</t>
        </is>
      </c>
      <c r="J31" s="38" t="inlineStr"/>
      <c r="K31" s="38" t="inlineStr">
        <is>
          <t>Doc 08 §6</t>
        </is>
      </c>
      <c r="L31" s="38" t="n"/>
      <c r="M31" s="38" t="n"/>
    </row>
    <row r="32" ht="49" customHeight="1">
      <c r="A32" s="37" t="n">
        <v>27</v>
      </c>
      <c r="B32" s="38" t="inlineStr">
        <is>
          <t>DoD bổ sung</t>
        </is>
      </c>
      <c r="C32" s="39" t="inlineStr">
        <is>
          <t>S6-DoD-9</t>
        </is>
      </c>
      <c r="D32" s="38" t="inlineStr">
        <is>
          <t>Build production đã nộp TestFlight và đã tạo track closed testing trên Play với ≥ 12 tester — đồng hồ 14 ngày bắt đầu chạy chậm nhất 11/12/2026</t>
        </is>
      </c>
      <c r="E32" s="37" t="inlineStr">
        <is>
          <t>S6</t>
        </is>
      </c>
      <c r="F32" s="38" t="inlineStr"/>
      <c r="G32" s="37" t="inlineStr"/>
      <c r="H32" s="37" t="inlineStr"/>
      <c r="I32" s="37" t="inlineStr">
        <is>
          <t>Chưa làm</t>
        </is>
      </c>
      <c r="J32" s="38" t="inlineStr"/>
      <c r="K32" s="38" t="inlineStr">
        <is>
          <t>Doc 08 §6</t>
        </is>
      </c>
      <c r="L32" s="38" t="n"/>
      <c r="M32" s="38" t="n"/>
    </row>
    <row r="33" ht="34" customHeight="1">
      <c r="A33" s="37" t="n">
        <v>28</v>
      </c>
      <c r="B33" s="38" t="inlineStr">
        <is>
          <t>DoD bổ sung</t>
        </is>
      </c>
      <c r="C33" s="39" t="inlineStr">
        <is>
          <t>S7-DoD-1</t>
        </is>
      </c>
      <c r="D33" s="38" t="inlineStr">
        <is>
          <t>15 sự kiện phân tích ở §5.12 đều bắn được từ cả web lẫn mobile, cùng tên thuộc tính, kiểm tra bằng bảng đối chiếu</t>
        </is>
      </c>
      <c r="E33" s="37" t="inlineStr">
        <is>
          <t>S7</t>
        </is>
      </c>
      <c r="F33" s="38" t="inlineStr"/>
      <c r="G33" s="37" t="inlineStr"/>
      <c r="H33" s="37" t="inlineStr"/>
      <c r="I33" s="37" t="inlineStr">
        <is>
          <t>Chưa làm</t>
        </is>
      </c>
      <c r="J33" s="38" t="inlineStr"/>
      <c r="K33" s="38" t="inlineStr">
        <is>
          <t>Doc 08 §6</t>
        </is>
      </c>
      <c r="L33" s="38" t="n"/>
      <c r="M33" s="38" t="n"/>
    </row>
    <row r="34" ht="19" customHeight="1">
      <c r="A34" s="37" t="n">
        <v>29</v>
      </c>
      <c r="B34" s="38" t="inlineStr">
        <is>
          <t>DoD bổ sung</t>
        </is>
      </c>
      <c r="C34" s="39" t="inlineStr">
        <is>
          <t>S7-DoD-2</t>
        </is>
      </c>
      <c r="D34" s="38" t="inlineStr">
        <is>
          <t>Crash-free session ≥ 99% đo trên 7 ngày cuối sprint</t>
        </is>
      </c>
      <c r="E34" s="37" t="inlineStr">
        <is>
          <t>S7</t>
        </is>
      </c>
      <c r="F34" s="38" t="inlineStr"/>
      <c r="G34" s="37" t="inlineStr"/>
      <c r="H34" s="37" t="inlineStr"/>
      <c r="I34" s="37" t="inlineStr">
        <is>
          <t>Chưa làm</t>
        </is>
      </c>
      <c r="J34" s="38" t="inlineStr"/>
      <c r="K34" s="38" t="inlineStr">
        <is>
          <t>Doc 08 §6</t>
        </is>
      </c>
      <c r="L34" s="38" t="n"/>
      <c r="M34" s="38" t="n"/>
    </row>
    <row r="35" ht="34" customHeight="1">
      <c r="A35" s="37" t="n">
        <v>30</v>
      </c>
      <c r="B35" s="38" t="inlineStr">
        <is>
          <t>DoD bổ sung</t>
        </is>
      </c>
      <c r="C35" s="39" t="inlineStr">
        <is>
          <t>S7-DoD-3</t>
        </is>
      </c>
      <c r="D35" s="38" t="inlineStr">
        <is>
          <t>Toàn bộ P0 và P1 phát hiện trong beta được ghi vào backlog S8 với mức ưu tiên và người nhận</t>
        </is>
      </c>
      <c r="E35" s="37" t="inlineStr">
        <is>
          <t>S7</t>
        </is>
      </c>
      <c r="F35" s="38" t="inlineStr"/>
      <c r="G35" s="37" t="inlineStr"/>
      <c r="H35" s="37" t="inlineStr"/>
      <c r="I35" s="37" t="inlineStr">
        <is>
          <t>Chưa làm</t>
        </is>
      </c>
      <c r="J35" s="38" t="inlineStr"/>
      <c r="K35" s="38" t="inlineStr">
        <is>
          <t>Doc 08 §6</t>
        </is>
      </c>
      <c r="L35" s="38" t="n"/>
      <c r="M35" s="38" t="n"/>
    </row>
    <row r="36" ht="34" customHeight="1">
      <c r="A36" s="37" t="n">
        <v>31</v>
      </c>
      <c r="B36" s="38" t="inlineStr">
        <is>
          <t>DoD bổ sung</t>
        </is>
      </c>
      <c r="C36" s="39" t="inlineStr">
        <is>
          <t>S7-DoD-4</t>
        </is>
      </c>
      <c r="D36" s="38" t="inlineStr">
        <is>
          <t>Bảng tổng hợp 15 cuộc phỏng vấn có ít nhất 5 phát hiện có hành động kèm story tương ứng</t>
        </is>
      </c>
      <c r="E36" s="37" t="inlineStr">
        <is>
          <t>S7</t>
        </is>
      </c>
      <c r="F36" s="38" t="inlineStr"/>
      <c r="G36" s="37" t="inlineStr"/>
      <c r="H36" s="37" t="inlineStr"/>
      <c r="I36" s="37" t="inlineStr">
        <is>
          <t>Chưa làm</t>
        </is>
      </c>
      <c r="J36" s="38" t="inlineStr"/>
      <c r="K36" s="38" t="inlineStr">
        <is>
          <t>Doc 08 §6</t>
        </is>
      </c>
      <c r="L36" s="38" t="n"/>
      <c r="M36" s="38" t="n"/>
    </row>
    <row r="37" ht="19" customHeight="1">
      <c r="A37" s="40" t="n">
        <v>32</v>
      </c>
      <c r="B37" s="41" t="inlineStr">
        <is>
          <t>Nghiệm thu</t>
        </is>
      </c>
      <c r="C37" s="42" t="inlineStr">
        <is>
          <t>M5-1</t>
        </is>
      </c>
      <c r="D37" s="41" t="inlineStr">
        <is>
          <t>Tài khoản beta thật đã kích hoạt — ngưỡng: ≥ 100</t>
        </is>
      </c>
      <c r="E37" s="40" t="inlineStr"/>
      <c r="F37" s="41" t="inlineStr"/>
      <c r="G37" s="40" t="inlineStr"/>
      <c r="H37" s="40" t="inlineStr"/>
      <c r="I37" s="40" t="inlineStr">
        <is>
          <t>Chưa làm</t>
        </is>
      </c>
      <c r="J37" s="41" t="inlineStr">
        <is>
          <t>Bằng chứng: Truy vấn users</t>
        </is>
      </c>
      <c r="K37" s="41" t="inlineStr">
        <is>
          <t>Doc 08 §7</t>
        </is>
      </c>
      <c r="L37" s="41" t="n"/>
      <c r="M37" s="41" t="n"/>
    </row>
    <row r="38" ht="34" customHeight="1">
      <c r="A38" s="40" t="n">
        <v>33</v>
      </c>
      <c r="B38" s="41" t="inlineStr">
        <is>
          <t>Nghiệm thu</t>
        </is>
      </c>
      <c r="C38" s="42" t="inlineStr">
        <is>
          <t>M5-2</t>
        </is>
      </c>
      <c r="D38" s="41" t="inlineStr">
        <is>
          <t>Beta user hoạt động (mở app ≥ 2 lần trong 14 ngày cuối) — ngưỡng: ≥ 70</t>
        </is>
      </c>
      <c r="E38" s="40" t="inlineStr"/>
      <c r="F38" s="41" t="inlineStr"/>
      <c r="G38" s="40" t="inlineStr"/>
      <c r="H38" s="40" t="inlineStr"/>
      <c r="I38" s="40" t="inlineStr">
        <is>
          <t>Chưa làm</t>
        </is>
      </c>
      <c r="J38" s="41" t="inlineStr">
        <is>
          <t>Bằng chứng: Bảng phân tích</t>
        </is>
      </c>
      <c r="K38" s="41" t="inlineStr">
        <is>
          <t>Doc 08 §7</t>
        </is>
      </c>
      <c r="L38" s="41" t="n"/>
      <c r="M38" s="41" t="n"/>
    </row>
    <row r="39" ht="19" customHeight="1">
      <c r="A39" s="40" t="n">
        <v>34</v>
      </c>
      <c r="B39" s="41" t="inlineStr">
        <is>
          <t>Nghiệm thu</t>
        </is>
      </c>
      <c r="C39" s="42" t="inlineStr">
        <is>
          <t>M5-3</t>
        </is>
      </c>
      <c r="D39" s="41" t="inlineStr">
        <is>
          <t>Sự kiện đã curate trong hệ thống — ngưỡng: ≥ 60</t>
        </is>
      </c>
      <c r="E39" s="40" t="inlineStr"/>
      <c r="F39" s="41" t="inlineStr"/>
      <c r="G39" s="40" t="inlineStr"/>
      <c r="H39" s="40" t="inlineStr"/>
      <c r="I39" s="40" t="inlineStr">
        <is>
          <t>Chưa làm</t>
        </is>
      </c>
      <c r="J39" s="41" t="inlineStr">
        <is>
          <t>Bằng chứng: Truy vấn events</t>
        </is>
      </c>
      <c r="K39" s="41" t="inlineStr">
        <is>
          <t>Doc 08 §7</t>
        </is>
      </c>
      <c r="L39" s="41" t="n"/>
      <c r="M39" s="41" t="n"/>
    </row>
    <row r="40" ht="34" customHeight="1">
      <c r="A40" s="40" t="n">
        <v>35</v>
      </c>
      <c r="B40" s="41" t="inlineStr">
        <is>
          <t>Nghiệm thu</t>
        </is>
      </c>
      <c r="C40" s="42" t="inlineStr">
        <is>
          <t>M5-4</t>
        </is>
      </c>
      <c r="D40" s="41" t="inlineStr">
        <is>
          <t>Dòng chảy trong beta: sự kiện đang mở mỗi tuần, đo 4 tuần liên tiếp — ngưỡng: ≥ 15/tuần, không tuần nào &lt; 10</t>
        </is>
      </c>
      <c r="E40" s="40" t="inlineStr"/>
      <c r="F40" s="41" t="inlineStr"/>
      <c r="G40" s="40" t="inlineStr"/>
      <c r="H40" s="40" t="inlineStr"/>
      <c r="I40" s="40" t="inlineStr">
        <is>
          <t>Chưa làm</t>
        </is>
      </c>
      <c r="J40" s="41" t="inlineStr">
        <is>
          <t>Bằng chứng: Báo cáo tuần</t>
        </is>
      </c>
      <c r="K40" s="41" t="inlineStr">
        <is>
          <t>Doc 08 §7</t>
        </is>
      </c>
      <c r="L40" s="41" t="n"/>
      <c r="M40" s="41" t="n"/>
    </row>
    <row r="41" ht="34" customHeight="1">
      <c r="A41" s="40" t="n">
        <v>36</v>
      </c>
      <c r="B41" s="41" t="inlineStr">
        <is>
          <t>Nghiệm thu</t>
        </is>
      </c>
      <c r="C41" s="42" t="inlineStr">
        <is>
          <t>M5-5</t>
        </is>
      </c>
      <c r="D41" s="41" t="inlineStr">
        <is>
          <t>Không khu vực MVP nào có 0 sự kiện đang mở trong 4 tuần liên tiếp — ngưỡng: 6/6 khu vực có mặt</t>
        </is>
      </c>
      <c r="E41" s="40" t="inlineStr"/>
      <c r="F41" s="41" t="inlineStr"/>
      <c r="G41" s="40" t="inlineStr"/>
      <c r="H41" s="40" t="inlineStr"/>
      <c r="I41" s="40" t="inlineStr">
        <is>
          <t>Chưa làm</t>
        </is>
      </c>
      <c r="J41" s="41" t="inlineStr">
        <is>
          <t>Bằng chứng: Bảng theo khu vực</t>
        </is>
      </c>
      <c r="K41" s="41" t="inlineStr">
        <is>
          <t>Doc 08 §7</t>
        </is>
      </c>
      <c r="L41" s="41" t="n"/>
      <c r="M41" s="41" t="n"/>
    </row>
    <row r="42" ht="19" customHeight="1">
      <c r="A42" s="40" t="n">
        <v>37</v>
      </c>
      <c r="B42" s="41" t="inlineStr">
        <is>
          <t>Nghiệm thu</t>
        </is>
      </c>
      <c r="C42" s="42" t="inlineStr">
        <is>
          <t>M5-6</t>
        </is>
      </c>
      <c r="D42" s="41" t="inlineStr">
        <is>
          <t>RSVP thật (không phải tài khoản test) — ngưỡng: ≥ 200</t>
        </is>
      </c>
      <c r="E42" s="40" t="inlineStr"/>
      <c r="F42" s="41" t="inlineStr"/>
      <c r="G42" s="40" t="inlineStr"/>
      <c r="H42" s="40" t="inlineStr"/>
      <c r="I42" s="40" t="inlineStr">
        <is>
          <t>Chưa làm</t>
        </is>
      </c>
      <c r="J42" s="41" t="inlineStr">
        <is>
          <t>Bằng chứng: Truy vấn rsvps</t>
        </is>
      </c>
      <c r="K42" s="41" t="inlineStr">
        <is>
          <t>Doc 08 §7</t>
        </is>
      </c>
      <c r="L42" s="41" t="n"/>
      <c r="M42" s="41" t="n"/>
    </row>
    <row r="43" ht="34" customHeight="1">
      <c r="A43" s="40" t="n">
        <v>38</v>
      </c>
      <c r="B43" s="41" t="inlineStr">
        <is>
          <t>Nghiệm thu</t>
        </is>
      </c>
      <c r="C43" s="42" t="inlineStr">
        <is>
          <t>M5-7</t>
        </is>
      </c>
      <c r="D43" s="41" t="inlineStr">
        <is>
          <t>TestFlight chạy ổn định + Play closed testing đủ 14 ngày liên tục — ngưỡng: Đủ 14 ngày</t>
        </is>
      </c>
      <c r="E43" s="40" t="inlineStr"/>
      <c r="F43" s="41" t="inlineStr"/>
      <c r="G43" s="40" t="inlineStr"/>
      <c r="H43" s="40" t="inlineStr"/>
      <c r="I43" s="40" t="inlineStr">
        <is>
          <t>Chưa làm</t>
        </is>
      </c>
      <c r="J43" s="41" t="inlineStr">
        <is>
          <t>Bằng chứng: Ảnh Play Console</t>
        </is>
      </c>
      <c r="K43" s="41" t="inlineStr">
        <is>
          <t>Doc 08 §7</t>
        </is>
      </c>
      <c r="L43" s="41" t="n"/>
      <c r="M43" s="41" t="n"/>
    </row>
    <row r="44" ht="19" customHeight="1">
      <c r="A44" s="40" t="n">
        <v>39</v>
      </c>
      <c r="B44" s="41" t="inlineStr">
        <is>
          <t>Nghiệm thu</t>
        </is>
      </c>
      <c r="C44" s="42" t="inlineStr">
        <is>
          <t>M5-8</t>
        </is>
      </c>
      <c r="D44" s="41" t="inlineStr">
        <is>
          <t>Crash-free session, đo 7 ngày cuối — ngưỡng: ≥ 99%</t>
        </is>
      </c>
      <c r="E44" s="40" t="inlineStr"/>
      <c r="F44" s="41" t="inlineStr"/>
      <c r="G44" s="40" t="inlineStr"/>
      <c r="H44" s="40" t="inlineStr"/>
      <c r="I44" s="40" t="inlineStr">
        <is>
          <t>Chưa làm</t>
        </is>
      </c>
      <c r="J44" s="41" t="inlineStr">
        <is>
          <t>Bằng chứng: Sentry</t>
        </is>
      </c>
      <c r="K44" s="41" t="inlineStr">
        <is>
          <t>Doc 08 §7</t>
        </is>
      </c>
      <c r="L44" s="41" t="n"/>
      <c r="M44" s="41" t="n"/>
    </row>
    <row r="45" ht="19" customHeight="1">
      <c r="A45" s="40" t="n">
        <v>40</v>
      </c>
      <c r="B45" s="41" t="inlineStr">
        <is>
          <t>Nghiệm thu</t>
        </is>
      </c>
      <c r="C45" s="42" t="inlineStr">
        <is>
          <t>M5-9</t>
        </is>
      </c>
      <c r="D45" s="41" t="inlineStr">
        <is>
          <t>Phỏng vấn sâu người dùng — ngưỡng: ≥ 15 cuộc</t>
        </is>
      </c>
      <c r="E45" s="40" t="inlineStr"/>
      <c r="F45" s="41" t="inlineStr"/>
      <c r="G45" s="40" t="inlineStr"/>
      <c r="H45" s="40" t="inlineStr"/>
      <c r="I45" s="40" t="inlineStr">
        <is>
          <t>Chưa làm</t>
        </is>
      </c>
      <c r="J45" s="41" t="inlineStr">
        <is>
          <t>Bằng chứng: Bản ghi + tổng hợp</t>
        </is>
      </c>
      <c r="K45" s="41" t="inlineStr">
        <is>
          <t>Doc 08 §7</t>
        </is>
      </c>
      <c r="L45" s="41" t="n"/>
      <c r="M45" s="41" t="n"/>
    </row>
    <row r="46" ht="34" customHeight="1">
      <c r="A46" s="40" t="n">
        <v>41</v>
      </c>
      <c r="B46" s="41" t="inlineStr">
        <is>
          <t>Nghiệm thu</t>
        </is>
      </c>
      <c r="C46" s="42" t="inlineStr">
        <is>
          <t>M5-10</t>
        </is>
      </c>
      <c r="D46" s="41" t="inlineStr">
        <is>
          <t>Xuất &amp; xoá dữ liệu cá nhân hoạt động thật (đã thử trên 1 tài khoản thật) — ngưỡng: Đạt</t>
        </is>
      </c>
      <c r="E46" s="40" t="inlineStr"/>
      <c r="F46" s="41" t="inlineStr"/>
      <c r="G46" s="40" t="inlineStr"/>
      <c r="H46" s="40" t="inlineStr"/>
      <c r="I46" s="40" t="inlineStr">
        <is>
          <t>Chưa làm</t>
        </is>
      </c>
      <c r="J46" s="41" t="inlineStr">
        <is>
          <t>Bằng chứng: Gói dữ liệu xuất ra</t>
        </is>
      </c>
      <c r="K46" s="41" t="inlineStr">
        <is>
          <t>Doc 08 §7</t>
        </is>
      </c>
      <c r="L46" s="41" t="n"/>
      <c r="M46" s="41" t="n"/>
    </row>
    <row r="47" ht="34" customHeight="1">
      <c r="A47" s="43" t="n">
        <v>42</v>
      </c>
      <c r="B47" s="44" t="inlineStr">
        <is>
          <t>Demo</t>
        </is>
      </c>
      <c r="C47" s="45" t="inlineStr">
        <is>
          <t>S6-Demo-1</t>
        </is>
      </c>
      <c r="D47" s="44" t="inlineStr">
        <is>
          <t>Community Manager nhập 3 sự kiện thật trên màn hình, bấm đồng hồ từng lần</t>
        </is>
      </c>
      <c r="E47" s="43" t="inlineStr">
        <is>
          <t>S6</t>
        </is>
      </c>
      <c r="F47" s="44" t="inlineStr"/>
      <c r="G47" s="43" t="inlineStr"/>
      <c r="H47" s="43" t="inlineStr"/>
      <c r="I47" s="43" t="inlineStr">
        <is>
          <t>Chưa làm</t>
        </is>
      </c>
      <c r="J47" s="44" t="inlineStr"/>
      <c r="K47" s="44" t="inlineStr">
        <is>
          <t>Doc 08 §6</t>
        </is>
      </c>
      <c r="L47" s="44" t="n"/>
      <c r="M47" s="44" t="n"/>
    </row>
    <row r="48" ht="49" customHeight="1">
      <c r="A48" s="43" t="n">
        <v>43</v>
      </c>
      <c r="B48" s="44" t="inlineStr">
        <is>
          <t>Demo</t>
        </is>
      </c>
      <c r="C48" s="45" t="inlineStr">
        <is>
          <t>S6-Demo-2</t>
        </is>
      </c>
      <c r="D48" s="44" t="inlineStr">
        <is>
          <t>Gửi lời mời tới hộp thư của một organizer thật đang hợp tác → organizer bấm link, đăng nhập, nhận quyền → sự kiện đổi chủ ngay trước mắt</t>
        </is>
      </c>
      <c r="E48" s="43" t="inlineStr">
        <is>
          <t>S6</t>
        </is>
      </c>
      <c r="F48" s="44" t="inlineStr"/>
      <c r="G48" s="43" t="inlineStr"/>
      <c r="H48" s="43" t="inlineStr"/>
      <c r="I48" s="43" t="inlineStr">
        <is>
          <t>Chưa làm</t>
        </is>
      </c>
      <c r="J48" s="44" t="inlineStr"/>
      <c r="K48" s="44" t="inlineStr">
        <is>
          <t>Doc 08 §6</t>
        </is>
      </c>
      <c r="L48" s="44" t="n"/>
      <c r="M48" s="44" t="n"/>
    </row>
    <row r="49" ht="34" customHeight="1">
      <c r="A49" s="43" t="n">
        <v>44</v>
      </c>
      <c r="B49" s="44" t="inlineStr">
        <is>
          <t>Demo</t>
        </is>
      </c>
      <c r="C49" s="45" t="inlineStr">
        <is>
          <t>S6-Demo-3</t>
        </is>
      </c>
      <c r="D49" s="44" t="inlineStr">
        <is>
          <t>In một mã QR, quét bằng app trên Android thật → điểm danh thành công, trust signal xuất hiện</t>
        </is>
      </c>
      <c r="E49" s="43" t="inlineStr">
        <is>
          <t>S6</t>
        </is>
      </c>
      <c r="F49" s="44" t="inlineStr"/>
      <c r="G49" s="43" t="inlineStr"/>
      <c r="H49" s="43" t="inlineStr"/>
      <c r="I49" s="43" t="inlineStr">
        <is>
          <t>Chưa làm</t>
        </is>
      </c>
      <c r="J49" s="44" t="inlineStr"/>
      <c r="K49" s="44" t="inlineStr">
        <is>
          <t>Doc 08 §6</t>
        </is>
      </c>
      <c r="L49" s="44" t="n"/>
      <c r="M49" s="44" t="n"/>
    </row>
    <row r="50" ht="34" customHeight="1">
      <c r="A50" s="43" t="n">
        <v>45</v>
      </c>
      <c r="B50" s="44" t="inlineStr">
        <is>
          <t>Demo</t>
        </is>
      </c>
      <c r="C50" s="45" t="inlineStr">
        <is>
          <t>S6-Demo-4</t>
        </is>
      </c>
      <c r="D50" s="44" t="inlineStr">
        <is>
          <t>Bảng điều khiển Founder: số hoạt động tuần này, RSVP, report đang chờ, tỷ lệ curated → self_serve</t>
        </is>
      </c>
      <c r="E50" s="43" t="inlineStr">
        <is>
          <t>S6</t>
        </is>
      </c>
      <c r="F50" s="44" t="inlineStr"/>
      <c r="G50" s="43" t="inlineStr"/>
      <c r="H50" s="43" t="inlineStr"/>
      <c r="I50" s="43" t="inlineStr">
        <is>
          <t>Chưa làm</t>
        </is>
      </c>
      <c r="J50" s="44" t="inlineStr"/>
      <c r="K50" s="44" t="inlineStr">
        <is>
          <t>Doc 08 §6</t>
        </is>
      </c>
      <c r="L50" s="44" t="n"/>
      <c r="M50" s="44" t="n"/>
    </row>
    <row r="51" ht="34" customHeight="1">
      <c r="A51" s="43" t="n">
        <v>46</v>
      </c>
      <c r="B51" s="44" t="inlineStr">
        <is>
          <t>Demo</t>
        </is>
      </c>
      <c r="C51" s="45" t="inlineStr">
        <is>
          <t>S6-Demo-5</t>
        </is>
      </c>
      <c r="D51" s="44" t="inlineStr">
        <is>
          <t>Yêu cầu xuất dữ liệu của tài khoản demo → tải về file JSON, mở ra đọc được</t>
        </is>
      </c>
      <c r="E51" s="43" t="inlineStr">
        <is>
          <t>S6</t>
        </is>
      </c>
      <c r="F51" s="44" t="inlineStr"/>
      <c r="G51" s="43" t="inlineStr"/>
      <c r="H51" s="43" t="inlineStr"/>
      <c r="I51" s="43" t="inlineStr">
        <is>
          <t>Chưa làm</t>
        </is>
      </c>
      <c r="J51" s="44" t="inlineStr"/>
      <c r="K51" s="44" t="inlineStr">
        <is>
          <t>Doc 08 §6</t>
        </is>
      </c>
      <c r="L51" s="44" t="n"/>
      <c r="M51" s="44" t="n"/>
    </row>
    <row r="52" ht="19" customHeight="1">
      <c r="A52" s="43" t="n">
        <v>47</v>
      </c>
      <c r="B52" s="44" t="inlineStr">
        <is>
          <t>Demo</t>
        </is>
      </c>
      <c r="C52" s="45" t="inlineStr">
        <is>
          <t>S6-Demo-6</t>
        </is>
      </c>
      <c r="D52" s="44" t="inlineStr">
        <is>
          <t>Cài app từ TestFlight lên iPhone thật ngay trong buổi demo</t>
        </is>
      </c>
      <c r="E52" s="43" t="inlineStr">
        <is>
          <t>S6</t>
        </is>
      </c>
      <c r="F52" s="44" t="inlineStr"/>
      <c r="G52" s="43" t="inlineStr"/>
      <c r="H52" s="43" t="inlineStr"/>
      <c r="I52" s="43" t="inlineStr">
        <is>
          <t>Chưa làm</t>
        </is>
      </c>
      <c r="J52" s="44" t="inlineStr"/>
      <c r="K52" s="44" t="inlineStr">
        <is>
          <t>Doc 08 §6</t>
        </is>
      </c>
      <c r="L52" s="44" t="n"/>
      <c r="M52" s="44" t="n"/>
    </row>
    <row r="53" ht="34" customHeight="1">
      <c r="A53" s="43" t="n">
        <v>48</v>
      </c>
      <c r="B53" s="44" t="inlineStr">
        <is>
          <t>Demo</t>
        </is>
      </c>
      <c r="C53" s="45" t="inlineStr">
        <is>
          <t>S7-Demo-1</t>
        </is>
      </c>
      <c r="D53" s="44" t="inlineStr">
        <is>
          <t>Bảng điều khiển: 100 tài khoản beta thật, biểu đồ kích hoạt theo ngày</t>
        </is>
      </c>
      <c r="E53" s="43" t="inlineStr">
        <is>
          <t>S7</t>
        </is>
      </c>
      <c r="F53" s="44" t="inlineStr"/>
      <c r="G53" s="43" t="inlineStr"/>
      <c r="H53" s="43" t="inlineStr"/>
      <c r="I53" s="43" t="inlineStr">
        <is>
          <t>Chưa làm</t>
        </is>
      </c>
      <c r="J53" s="44" t="inlineStr"/>
      <c r="K53" s="44" t="inlineStr">
        <is>
          <t>Doc 08 §6</t>
        </is>
      </c>
      <c r="L53" s="44" t="n"/>
      <c r="M53" s="44" t="n"/>
    </row>
    <row r="54" ht="34" customHeight="1">
      <c r="A54" s="43" t="n">
        <v>49</v>
      </c>
      <c r="B54" s="44" t="inlineStr">
        <is>
          <t>Demo</t>
        </is>
      </c>
      <c r="C54" s="45" t="inlineStr">
        <is>
          <t>S7-Demo-2</t>
        </is>
      </c>
      <c r="D54" s="44" t="inlineStr">
        <is>
          <t>Phễu thật đọc từ công cụ phân tích: app_open → discover_viewed → event_viewed → rsvp_completed, kèm tỷ lệ rớt từng bước</t>
        </is>
      </c>
      <c r="E54" s="43" t="inlineStr">
        <is>
          <t>S7</t>
        </is>
      </c>
      <c r="F54" s="44" t="inlineStr"/>
      <c r="G54" s="43" t="inlineStr"/>
      <c r="H54" s="43" t="inlineStr"/>
      <c r="I54" s="43" t="inlineStr">
        <is>
          <t>Chưa làm</t>
        </is>
      </c>
      <c r="J54" s="44" t="inlineStr"/>
      <c r="K54" s="44" t="inlineStr">
        <is>
          <t>Doc 08 §6</t>
        </is>
      </c>
      <c r="L54" s="44" t="n"/>
      <c r="M54" s="44" t="n"/>
    </row>
    <row r="55" ht="34" customHeight="1">
      <c r="A55" s="43" t="n">
        <v>50</v>
      </c>
      <c r="B55" s="44" t="inlineStr">
        <is>
          <t>Demo</t>
        </is>
      </c>
      <c r="C55" s="45" t="inlineStr">
        <is>
          <t>S7-Demo-3</t>
        </is>
      </c>
      <c r="D55" s="44" t="inlineStr">
        <is>
          <t>Ba trích đoạn phỏng vấn video, mỗi đoạn 60 giây, kèm việc đội sẽ làm với nó</t>
        </is>
      </c>
      <c r="E55" s="43" t="inlineStr">
        <is>
          <t>S7</t>
        </is>
      </c>
      <c r="F55" s="44" t="inlineStr"/>
      <c r="G55" s="43" t="inlineStr"/>
      <c r="H55" s="43" t="inlineStr"/>
      <c r="I55" s="43" t="inlineStr">
        <is>
          <t>Chưa làm</t>
        </is>
      </c>
      <c r="J55" s="44" t="inlineStr"/>
      <c r="K55" s="44" t="inlineStr">
        <is>
          <t>Doc 08 §6</t>
        </is>
      </c>
      <c r="L55" s="44" t="n"/>
      <c r="M55" s="44" t="n"/>
    </row>
    <row r="56" ht="19" customHeight="1">
      <c r="A56" s="43" t="n">
        <v>51</v>
      </c>
      <c r="B56" s="44" t="inlineStr">
        <is>
          <t>Demo</t>
        </is>
      </c>
      <c r="C56" s="45" t="inlineStr">
        <is>
          <t>S7-Demo-4</t>
        </is>
      </c>
      <c r="D56" s="44" t="inlineStr">
        <is>
          <t>Bảng Sentry: crash-free session của 7 ngày cuối</t>
        </is>
      </c>
      <c r="E56" s="43" t="inlineStr">
        <is>
          <t>S7</t>
        </is>
      </c>
      <c r="F56" s="44" t="inlineStr"/>
      <c r="G56" s="43" t="inlineStr"/>
      <c r="H56" s="43" t="inlineStr"/>
      <c r="I56" s="43" t="inlineStr">
        <is>
          <t>Chưa làm</t>
        </is>
      </c>
      <c r="J56" s="44" t="inlineStr"/>
      <c r="K56" s="44" t="inlineStr">
        <is>
          <t>Doc 08 §6</t>
        </is>
      </c>
      <c r="L56" s="44" t="n"/>
      <c r="M56" s="44" t="n"/>
    </row>
    <row r="57" ht="19" customHeight="1">
      <c r="A57" s="43" t="n">
        <v>52</v>
      </c>
      <c r="B57" s="44" t="inlineStr">
        <is>
          <t>Demo</t>
        </is>
      </c>
      <c r="C57" s="45" t="inlineStr">
        <is>
          <t>S7-Demo-5</t>
        </is>
      </c>
      <c r="D57" s="44" t="inlineStr">
        <is>
          <t>Xác nhận Play closed testing đã chạy đủ 14 ngày liên tục</t>
        </is>
      </c>
      <c r="E57" s="43" t="inlineStr">
        <is>
          <t>S7</t>
        </is>
      </c>
      <c r="F57" s="44" t="inlineStr"/>
      <c r="G57" s="43" t="inlineStr"/>
      <c r="H57" s="43" t="inlineStr"/>
      <c r="I57" s="43" t="inlineStr">
        <is>
          <t>Chưa làm</t>
        </is>
      </c>
      <c r="J57" s="44" t="inlineStr"/>
      <c r="K57" s="44" t="inlineStr">
        <is>
          <t>Doc 08 §6</t>
        </is>
      </c>
      <c r="L57" s="44" t="n"/>
      <c r="M57" s="44" t="n"/>
    </row>
    <row r="58" ht="34" customHeight="1">
      <c r="A58" s="49" t="n">
        <v>53</v>
      </c>
      <c r="B58" s="50" t="inlineStr">
        <is>
          <t>Bổ sung từ mockup</t>
        </is>
      </c>
      <c r="C58" s="51" t="inlineStr">
        <is>
          <t>MK-ADMIN-01</t>
        </is>
      </c>
      <c r="D58" s="50" t="inlineStr">
        <is>
          <t>Console quản trị tin tức song ngữ (soạn, hẹn giờ đăng, evergreen, gắn sự kiện liên quan) + gắn events.source khi curate.</t>
        </is>
      </c>
      <c r="E58" s="49" t="inlineStr"/>
      <c r="F58" s="50" t="inlineStr">
        <is>
          <t>Web Admin</t>
        </is>
      </c>
      <c r="G58" s="49" t="inlineStr"/>
      <c r="H58" s="49" t="inlineStr"/>
      <c r="I58" s="49" t="inlineStr">
        <is>
          <t>Chưa làm</t>
        </is>
      </c>
      <c r="J58" s="50" t="inlineStr">
        <is>
          <t>apps/web-admin-side chưa khởi tạo.</t>
        </is>
      </c>
      <c r="K58" s="50" t="inlineStr">
        <is>
          <t>Mockup ② home (nguồn nội dung staff)</t>
        </is>
      </c>
      <c r="L58" s="50" t="n"/>
      <c r="M58" s="50" t="n"/>
    </row>
  </sheetData>
  <autoFilter ref="A5:M58"/>
  <mergeCells count="4">
    <mergeCell ref="A4:B4"/>
    <mergeCell ref="A3:M3"/>
    <mergeCell ref="A2:M2"/>
    <mergeCell ref="A1:M1"/>
  </mergeCells>
  <conditionalFormatting sqref="I6:I88">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onditionalFormatting>
  <dataValidations count="1">
    <dataValidation sqref="I6:I88" showDropDown="0" showInputMessage="0" showErrorMessage="1" allowBlank="1" errorTitle="Trạng thái không hợp lệ" error="Chọn một trong: Xong, Một phần, Chưa làm, Bị chặn, Cần chốt, Chưa xác nhận" type="list">
      <formula1>"Xong,Một phần,Chưa làm,Bị chặn,Cần chốt,Chưa xác nhận"</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0369A1"/>
    <outlinePr summaryBelow="1" summaryRight="1"/>
    <pageSetUpPr fitToPage="1"/>
  </sheetPr>
  <dimension ref="A1:M55"/>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8" t="inlineStr">
        <is>
          <t>M6 · Ra mắt công khai — chốt 25/02/2027 · Sprint S8, S9, S10</t>
        </is>
      </c>
    </row>
    <row r="2" ht="46" customHeight="1">
      <c r="A2" s="19" t="inlineStr">
        <is>
          <t>Mục tiêu: S8 — Sửa lỗi beta &amp; Hoàn thiện (04/01 – 15/01/2027): Đóng toàn bộ P0/P1 của beta, và bịt hai chỗ rớt phễu lớn nhất tìm được ở S7.
S9 — Chuẩn bị ra mắt (18/01 – 29/01/2027): Có một release candidate đóng gói xong, tài sản cửa hàng xong, và runbook sự cố đã được diễn tập thật.
S10 — Ra mắt công khai (15/02 – 26/02/2027): App có mặt trên cả hai kho ứng dụng, web production sống, và cộng đồng Đà Nẵng biết chuyện đó.</t>
        </is>
      </c>
    </row>
    <row r="3" ht="32" customHeight="1">
      <c r="A3" s="20" t="inlineStr">
        <is>
          <t>Nếu trượt: không ra mắt công khai đúng hạn. Lùi ra mắt 2–4 tuần và dồn toàn bộ nguồn lực vào curate + chuyển giao organizer. Ra mắt với một ứng dụng trông đầy nhưng không có dòng chảy là kịch bản hỏng tệ nhất: người dùng mở lần đầu, không thấy gì đáng đi, và không quay lại — không có lần ra mắt thứ hai với cùng một người.</t>
        </is>
      </c>
    </row>
    <row r="4" ht="20" customHeight="1">
      <c r="A4" s="21" t="inlineStr">
        <is>
          <t>Tiến độ</t>
        </is>
      </c>
      <c r="B4" s="22" t="n"/>
      <c r="C4" s="22">
        <f>COUNTA($C$6:$C$400)&amp;" mục"</f>
        <v/>
      </c>
      <c r="D4" s="23">
        <f>"Xong: "&amp;COUNTIF($I$6:$I$400,"Xong")</f>
        <v/>
      </c>
      <c r="E4" s="24">
        <f>"Một phần: "&amp;COUNTIF($I$6:$I$400,"Một phần")</f>
        <v/>
      </c>
      <c r="F4" s="25">
        <f>"Chưa làm: "&amp;COUNTIF($I$6:$I$400,"Chưa làm")</f>
        <v/>
      </c>
      <c r="G4" s="26">
        <f>"Bị chặn: "&amp;COUNTIF($I$6:$I$400,"Bị chặn")</f>
        <v/>
      </c>
      <c r="H4" s="27">
        <f>"Cần chốt: "&amp;COUNTIF($I$6:$I$400,"Cần chốt")</f>
        <v/>
      </c>
      <c r="I4" s="28">
        <f>"Chưa xác nhận: "&amp;COUNTIF($I$6:$I$400,"Chưa xác nhận")</f>
        <v/>
      </c>
      <c r="J4" s="29">
        <f>"Tỷ lệ xong: "&amp;TEXT(IFERROR(COUNTIF($I$6:$I$400,"Xong")/COUNTA($C$6:$C$400),0),"0%")</f>
        <v/>
      </c>
      <c r="K4" s="22" t="n"/>
      <c r="L4" s="22" t="n"/>
      <c r="M4" s="22"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19" customHeight="1">
      <c r="A6" s="34" t="n">
        <v>1</v>
      </c>
      <c r="B6" s="35" t="inlineStr">
        <is>
          <t>Story</t>
        </is>
      </c>
      <c r="C6" s="36" t="inlineStr">
        <is>
          <t>E7-S5</t>
        </is>
      </c>
      <c r="D6" s="35" t="inlineStr">
        <is>
          <t>WebSocket đếm chỗ realtime (thay polling 30 giây)</t>
        </is>
      </c>
      <c r="E6" s="34" t="inlineStr">
        <is>
          <t>S8</t>
        </is>
      </c>
      <c r="F6" s="35" t="inlineStr">
        <is>
          <t>Backend</t>
        </is>
      </c>
      <c r="G6" s="34" t="n">
        <v>13</v>
      </c>
      <c r="H6" s="34" t="inlineStr">
        <is>
          <t>SHOULD</t>
        </is>
      </c>
      <c r="I6" s="34" t="inlineStr">
        <is>
          <t>Chưa làm</t>
        </is>
      </c>
      <c r="J6" s="35" t="inlineStr"/>
      <c r="K6" s="35" t="inlineStr">
        <is>
          <t>Doc 08 §6</t>
        </is>
      </c>
      <c r="L6" s="35" t="n"/>
      <c r="M6" s="35" t="n"/>
    </row>
    <row r="7" ht="19" customHeight="1">
      <c r="A7" s="34" t="n">
        <v>2</v>
      </c>
      <c r="B7" s="35" t="inlineStr">
        <is>
          <t>Story</t>
        </is>
      </c>
      <c r="C7" s="36" t="inlineStr">
        <is>
          <t>E3-S5</t>
        </is>
      </c>
      <c r="D7" s="35" t="inlineStr">
        <is>
          <t>Xem &amp; sửa hồ sơ ngay trong app</t>
        </is>
      </c>
      <c r="E7" s="34" t="inlineStr">
        <is>
          <t>S8</t>
        </is>
      </c>
      <c r="F7" s="35" t="inlineStr">
        <is>
          <t>Mobile</t>
        </is>
      </c>
      <c r="G7" s="34" t="n">
        <v>8</v>
      </c>
      <c r="H7" s="34" t="inlineStr">
        <is>
          <t>MUST</t>
        </is>
      </c>
      <c r="I7" s="34" t="inlineStr">
        <is>
          <t>Chưa làm</t>
        </is>
      </c>
      <c r="J7" s="35" t="inlineStr"/>
      <c r="K7" s="35" t="inlineStr">
        <is>
          <t>Doc 08 §6</t>
        </is>
      </c>
      <c r="L7" s="35" t="n"/>
      <c r="M7" s="35" t="n"/>
    </row>
    <row r="8" ht="19" customHeight="1">
      <c r="A8" s="34" t="n">
        <v>3</v>
      </c>
      <c r="B8" s="35" t="inlineStr">
        <is>
          <t>Story</t>
        </is>
      </c>
      <c r="C8" s="36" t="inlineStr">
        <is>
          <t>E3-S4</t>
        </is>
      </c>
      <c r="D8" s="35" t="inlineStr">
        <is>
          <t>Hồ sơ công khai của organizer trên web</t>
        </is>
      </c>
      <c r="E8" s="34" t="inlineStr">
        <is>
          <t>S8</t>
        </is>
      </c>
      <c r="F8" s="35" t="inlineStr">
        <is>
          <t>Web</t>
        </is>
      </c>
      <c r="G8" s="34" t="n">
        <v>5</v>
      </c>
      <c r="H8" s="34" t="inlineStr">
        <is>
          <t>SHOULD</t>
        </is>
      </c>
      <c r="I8" s="34" t="inlineStr">
        <is>
          <t>Chưa làm</t>
        </is>
      </c>
      <c r="J8" s="35" t="inlineStr"/>
      <c r="K8" s="35" t="inlineStr">
        <is>
          <t>Doc 08 §6</t>
        </is>
      </c>
      <c r="L8" s="35" t="n"/>
      <c r="M8" s="35" t="n"/>
    </row>
    <row r="9" ht="19" customHeight="1">
      <c r="A9" s="34" t="n">
        <v>4</v>
      </c>
      <c r="B9" s="35" t="inlineStr">
        <is>
          <t>Story</t>
        </is>
      </c>
      <c r="C9" s="36" t="inlineStr">
        <is>
          <t>E10-S2</t>
        </is>
      </c>
      <c r="D9" s="35" t="inlineStr">
        <is>
          <t>Bản dịch tiếng Việt do người dịch, không phải dịch máy</t>
        </is>
      </c>
      <c r="E9" s="34" t="inlineStr">
        <is>
          <t>S8</t>
        </is>
      </c>
      <c r="F9" s="35" t="inlineStr">
        <is>
          <t>Product Owner + Community Manager</t>
        </is>
      </c>
      <c r="G9" s="34" t="n">
        <v>5</v>
      </c>
      <c r="H9" s="34" t="inlineStr">
        <is>
          <t>MUST</t>
        </is>
      </c>
      <c r="I9" s="34" t="inlineStr">
        <is>
          <t>Chưa làm</t>
        </is>
      </c>
      <c r="J9" s="35" t="inlineStr"/>
      <c r="K9" s="35" t="inlineStr">
        <is>
          <t>Doc 08 §6</t>
        </is>
      </c>
      <c r="L9" s="35" t="n"/>
      <c r="M9" s="35" t="n"/>
    </row>
    <row r="10" ht="19" customHeight="1">
      <c r="A10" s="34" t="n">
        <v>5</v>
      </c>
      <c r="B10" s="35" t="inlineStr">
        <is>
          <t>Story</t>
        </is>
      </c>
      <c r="C10" s="36" t="inlineStr">
        <is>
          <t>E11-S2</t>
        </is>
      </c>
      <c r="D10" s="35" t="inlineStr">
        <is>
          <t>Tích hợp công cụ phân tích sản phẩm, dựng phễu thật</t>
        </is>
      </c>
      <c r="E10" s="34" t="inlineStr">
        <is>
          <t>S8</t>
        </is>
      </c>
      <c r="F10" s="35" t="inlineStr">
        <is>
          <t>Tech Lead</t>
        </is>
      </c>
      <c r="G10" s="34" t="n">
        <v>5</v>
      </c>
      <c r="H10" s="34" t="inlineStr">
        <is>
          <t>MUST</t>
        </is>
      </c>
      <c r="I10" s="34" t="inlineStr">
        <is>
          <t>Chưa làm</t>
        </is>
      </c>
      <c r="J10" s="35" t="inlineStr"/>
      <c r="K10" s="35" t="inlineStr">
        <is>
          <t>Doc 08 §6</t>
        </is>
      </c>
      <c r="L10" s="35" t="n"/>
      <c r="M10" s="35" t="n"/>
    </row>
    <row r="11" ht="34" customHeight="1">
      <c r="A11" s="34" t="n">
        <v>6</v>
      </c>
      <c r="B11" s="35" t="inlineStr">
        <is>
          <t>Story</t>
        </is>
      </c>
      <c r="C11" s="36" t="inlineStr">
        <is>
          <t>E4-S5</t>
        </is>
      </c>
      <c r="D11" s="35" t="inlineStr">
        <is>
          <t>Hoạt động lặp lại theo tuần (recurrence_rule sinh nhiều occurrence)</t>
        </is>
      </c>
      <c r="E11" s="34" t="inlineStr">
        <is>
          <t>S9</t>
        </is>
      </c>
      <c r="F11" s="35" t="inlineStr">
        <is>
          <t>Backend</t>
        </is>
      </c>
      <c r="G11" s="34" t="n">
        <v>8</v>
      </c>
      <c r="H11" s="34" t="inlineStr">
        <is>
          <t>MUST</t>
        </is>
      </c>
      <c r="I11" s="34" t="inlineStr">
        <is>
          <t>Chưa làm</t>
        </is>
      </c>
      <c r="J11" s="35" t="inlineStr"/>
      <c r="K11" s="35" t="inlineStr">
        <is>
          <t>Doc 08 §6</t>
        </is>
      </c>
      <c r="L11" s="35" t="n"/>
      <c r="M11" s="35" t="n"/>
    </row>
    <row r="12" ht="19" customHeight="1">
      <c r="A12" s="34" t="n">
        <v>7</v>
      </c>
      <c r="B12" s="35" t="inlineStr">
        <is>
          <t>Story</t>
        </is>
      </c>
      <c r="C12" s="36" t="inlineStr">
        <is>
          <t>E4-S10</t>
        </is>
      </c>
      <c r="D12" s="35" t="inlineStr">
        <is>
          <t>Trang quản lý hoạt động của tôi: sắp diễn ra / đã qua / nháp</t>
        </is>
      </c>
      <c r="E12" s="34" t="inlineStr">
        <is>
          <t>S9</t>
        </is>
      </c>
      <c r="F12" s="35" t="inlineStr">
        <is>
          <t>Web</t>
        </is>
      </c>
      <c r="G12" s="34" t="n">
        <v>8</v>
      </c>
      <c r="H12" s="34" t="inlineStr">
        <is>
          <t>MUST</t>
        </is>
      </c>
      <c r="I12" s="34" t="inlineStr">
        <is>
          <t>Chưa làm</t>
        </is>
      </c>
      <c r="J12" s="35" t="inlineStr"/>
      <c r="K12" s="35" t="inlineStr">
        <is>
          <t>Doc 08 §6</t>
        </is>
      </c>
      <c r="L12" s="35" t="n"/>
      <c r="M12" s="35" t="n"/>
    </row>
    <row r="13" ht="19" customHeight="1">
      <c r="A13" s="34" t="n">
        <v>8</v>
      </c>
      <c r="B13" s="35" t="inlineStr">
        <is>
          <t>Story</t>
        </is>
      </c>
      <c r="C13" s="36" t="inlineStr">
        <is>
          <t>E5-S8</t>
        </is>
      </c>
      <c r="D13" s="35" t="inlineStr">
        <is>
          <t>Chuyển danh sách ↔ bản đồ trên mobile</t>
        </is>
      </c>
      <c r="E13" s="34" t="inlineStr">
        <is>
          <t>S9</t>
        </is>
      </c>
      <c r="F13" s="35" t="inlineStr">
        <is>
          <t>Mobile</t>
        </is>
      </c>
      <c r="G13" s="34" t="n">
        <v>8</v>
      </c>
      <c r="H13" s="34" t="inlineStr">
        <is>
          <t>SHOULD</t>
        </is>
      </c>
      <c r="I13" s="34" t="inlineStr">
        <is>
          <t>Chưa làm</t>
        </is>
      </c>
      <c r="J13" s="35" t="inlineStr"/>
      <c r="K13" s="35" t="inlineStr">
        <is>
          <t>Doc 08 §6</t>
        </is>
      </c>
      <c r="L13" s="35" t="n"/>
      <c r="M13" s="35" t="n"/>
    </row>
    <row r="14" ht="19" customHeight="1">
      <c r="A14" s="34" t="n">
        <v>9</v>
      </c>
      <c r="B14" s="35" t="inlineStr">
        <is>
          <t>Story</t>
        </is>
      </c>
      <c r="C14" s="36" t="inlineStr">
        <is>
          <t>E6-S8</t>
        </is>
      </c>
      <c r="D14" s="35" t="inlineStr">
        <is>
          <t>Số chỗ còn lại cập nhật realtime trên mobile</t>
        </is>
      </c>
      <c r="E14" s="34" t="inlineStr">
        <is>
          <t>S9</t>
        </is>
      </c>
      <c r="F14" s="35" t="inlineStr">
        <is>
          <t>Mobile</t>
        </is>
      </c>
      <c r="G14" s="34" t="n">
        <v>8</v>
      </c>
      <c r="H14" s="34" t="inlineStr">
        <is>
          <t>SHOULD</t>
        </is>
      </c>
      <c r="I14" s="34" t="inlineStr">
        <is>
          <t>Chưa làm</t>
        </is>
      </c>
      <c r="J14" s="35" t="inlineStr"/>
      <c r="K14" s="35" t="inlineStr">
        <is>
          <t>Doc 08 §6</t>
        </is>
      </c>
      <c r="L14" s="35" t="n"/>
      <c r="M14" s="35" t="n"/>
    </row>
    <row r="15" ht="19" customHeight="1">
      <c r="A15" s="34" t="n">
        <v>10</v>
      </c>
      <c r="B15" s="35" t="inlineStr">
        <is>
          <t>Story</t>
        </is>
      </c>
      <c r="C15" s="36" t="inlineStr">
        <is>
          <t>E11-S3</t>
        </is>
      </c>
      <c r="D15" s="35" t="inlineStr">
        <is>
          <t>Báo cáo tuần tự động</t>
        </is>
      </c>
      <c r="E15" s="34" t="inlineStr">
        <is>
          <t>S9</t>
        </is>
      </c>
      <c r="F15" s="35" t="inlineStr">
        <is>
          <t>Tech Lead + Product Owner</t>
        </is>
      </c>
      <c r="G15" s="34" t="n">
        <v>5</v>
      </c>
      <c r="H15" s="34" t="inlineStr">
        <is>
          <t>MUST</t>
        </is>
      </c>
      <c r="I15" s="34" t="inlineStr">
        <is>
          <t>Chưa làm</t>
        </is>
      </c>
      <c r="J15" s="35" t="inlineStr"/>
      <c r="K15" s="35" t="inlineStr">
        <is>
          <t>Doc 08 §6</t>
        </is>
      </c>
      <c r="L15" s="35" t="n"/>
      <c r="M15" s="35" t="n"/>
    </row>
    <row r="16" ht="19" customHeight="1">
      <c r="A16" s="34" t="n">
        <v>11</v>
      </c>
      <c r="B16" s="35" t="inlineStr">
        <is>
          <t>Story</t>
        </is>
      </c>
      <c r="C16" s="36" t="inlineStr">
        <is>
          <t>E11-S4</t>
        </is>
      </c>
      <c r="D16" s="35" t="inlineStr">
        <is>
          <t>Link mời bạn có ghi nhận</t>
        </is>
      </c>
      <c r="E16" s="34" t="inlineStr">
        <is>
          <t>S9</t>
        </is>
      </c>
      <c r="F16" s="35" t="inlineStr">
        <is>
          <t>Backend + Web</t>
        </is>
      </c>
      <c r="G16" s="34" t="n">
        <v>5</v>
      </c>
      <c r="H16" s="34" t="inlineStr">
        <is>
          <t>SHOULD</t>
        </is>
      </c>
      <c r="I16" s="34" t="inlineStr">
        <is>
          <t>Chưa làm</t>
        </is>
      </c>
      <c r="J16" s="35" t="inlineStr"/>
      <c r="K16" s="35" t="inlineStr">
        <is>
          <t>Doc 08 §6</t>
        </is>
      </c>
      <c r="L16" s="35" t="n"/>
      <c r="M16" s="35" t="n"/>
    </row>
    <row r="17" ht="19" customHeight="1">
      <c r="A17" s="34" t="n">
        <v>12</v>
      </c>
      <c r="B17" s="35" t="inlineStr">
        <is>
          <t>Story</t>
        </is>
      </c>
      <c r="C17" s="36" t="inlineStr">
        <is>
          <t>E11-S5</t>
        </is>
      </c>
      <c r="D17" s="35" t="inlineStr">
        <is>
          <t>SEO cho truy vấn "things to do in Da Nang this week"</t>
        </is>
      </c>
      <c r="E17" s="34" t="inlineStr">
        <is>
          <t>S9</t>
        </is>
      </c>
      <c r="F17" s="35" t="inlineStr">
        <is>
          <t>Web</t>
        </is>
      </c>
      <c r="G17" s="34" t="n">
        <v>5</v>
      </c>
      <c r="H17" s="34" t="inlineStr">
        <is>
          <t>MUST</t>
        </is>
      </c>
      <c r="I17" s="34" t="inlineStr">
        <is>
          <t>Chưa làm</t>
        </is>
      </c>
      <c r="J17" s="35" t="inlineStr"/>
      <c r="K17" s="35" t="inlineStr">
        <is>
          <t>Doc 08 §6</t>
        </is>
      </c>
      <c r="L17" s="35" t="n"/>
      <c r="M17" s="35" t="n"/>
    </row>
    <row r="18" ht="19" customHeight="1">
      <c r="A18" s="34" t="n">
        <v>13</v>
      </c>
      <c r="B18" s="35" t="inlineStr">
        <is>
          <t>Story</t>
        </is>
      </c>
      <c r="C18" s="36" t="inlineStr">
        <is>
          <t>E12-S4</t>
        </is>
      </c>
      <c r="D18" s="35" t="inlineStr">
        <is>
          <t>Mô tả cửa hàng song ngữ + ảnh chụp màn hình</t>
        </is>
      </c>
      <c r="E18" s="34" t="inlineStr">
        <is>
          <t>S9</t>
        </is>
      </c>
      <c r="F18" s="35" t="inlineStr">
        <is>
          <t>Mobile + Product Owner</t>
        </is>
      </c>
      <c r="G18" s="34" t="n">
        <v>5</v>
      </c>
      <c r="H18" s="34" t="inlineStr">
        <is>
          <t>MUST</t>
        </is>
      </c>
      <c r="I18" s="34" t="inlineStr">
        <is>
          <t>Chưa làm</t>
        </is>
      </c>
      <c r="J18" s="35" t="inlineStr"/>
      <c r="K18" s="35" t="inlineStr">
        <is>
          <t>Doc 08 §6</t>
        </is>
      </c>
      <c r="L18" s="35" t="n"/>
      <c r="M18" s="35" t="n"/>
    </row>
    <row r="19" ht="19" customHeight="1">
      <c r="A19" s="34" t="n">
        <v>14</v>
      </c>
      <c r="B19" s="35" t="inlineStr">
        <is>
          <t>Story</t>
        </is>
      </c>
      <c r="C19" s="36" t="inlineStr">
        <is>
          <t>E12-S6</t>
        </is>
      </c>
      <c r="D19" s="35" t="inlineStr">
        <is>
          <t>App được duyệt và có mặt trên cả hai cửa hàng đúng ngày</t>
        </is>
      </c>
      <c r="E19" s="34" t="inlineStr">
        <is>
          <t>S10</t>
        </is>
      </c>
      <c r="F19" s="35" t="inlineStr">
        <is>
          <t>Mobile</t>
        </is>
      </c>
      <c r="G19" s="34" t="n">
        <v>5</v>
      </c>
      <c r="H19" s="34" t="inlineStr">
        <is>
          <t>MUST</t>
        </is>
      </c>
      <c r="I19" s="34" t="inlineStr">
        <is>
          <t>Chưa làm</t>
        </is>
      </c>
      <c r="J19" s="35" t="inlineStr"/>
      <c r="K19" s="35" t="inlineStr">
        <is>
          <t>Doc 08 §6</t>
        </is>
      </c>
      <c r="L19" s="35" t="n"/>
      <c r="M19" s="35" t="n"/>
    </row>
    <row r="20" ht="19" customHeight="1">
      <c r="A20" s="34" t="n">
        <v>15</v>
      </c>
      <c r="B20" s="35" t="inlineStr">
        <is>
          <t>Story</t>
        </is>
      </c>
      <c r="C20" s="36" t="inlineStr">
        <is>
          <t>E5-S10</t>
        </is>
      </c>
      <c r="D20" s="35" t="inlineStr">
        <is>
          <t>Lưu bộ lọc yêu thích, lưu hoạt động xem sau</t>
        </is>
      </c>
      <c r="E20" s="34" t="inlineStr">
        <is>
          <t>S10</t>
        </is>
      </c>
      <c r="F20" s="35" t="inlineStr">
        <is>
          <t>Backend + Web</t>
        </is>
      </c>
      <c r="G20" s="34" t="n">
        <v>5</v>
      </c>
      <c r="H20" s="34" t="inlineStr">
        <is>
          <t>COULD</t>
        </is>
      </c>
      <c r="I20" s="34" t="inlineStr">
        <is>
          <t>Chưa làm</t>
        </is>
      </c>
      <c r="J20" s="35" t="inlineStr"/>
      <c r="K20" s="35" t="inlineStr">
        <is>
          <t>Doc 08 §6</t>
        </is>
      </c>
      <c r="L20" s="35" t="n"/>
      <c r="M20" s="35" t="n"/>
    </row>
    <row r="21" ht="19" customHeight="1">
      <c r="A21" s="37" t="n">
        <v>16</v>
      </c>
      <c r="B21" s="38" t="inlineStr">
        <is>
          <t>DoD bổ sung</t>
        </is>
      </c>
      <c r="C21" s="39" t="inlineStr">
        <is>
          <t>S8-DoD-1</t>
        </is>
      </c>
      <c r="D21" s="38" t="inlineStr">
        <is>
          <t>Không còn P0 nào mở. P1 còn mở ≤ 3, mỗi cái có ngày hẹn</t>
        </is>
      </c>
      <c r="E21" s="37" t="inlineStr">
        <is>
          <t>S8</t>
        </is>
      </c>
      <c r="F21" s="38" t="inlineStr"/>
      <c r="G21" s="37" t="inlineStr"/>
      <c r="H21" s="37" t="inlineStr"/>
      <c r="I21" s="37" t="inlineStr">
        <is>
          <t>Chưa làm</t>
        </is>
      </c>
      <c r="J21" s="38" t="inlineStr"/>
      <c r="K21" s="38" t="inlineStr">
        <is>
          <t>Doc 08 §6</t>
        </is>
      </c>
      <c r="L21" s="38" t="n"/>
      <c r="M21" s="38" t="n"/>
    </row>
    <row r="22" ht="34" customHeight="1">
      <c r="A22" s="37" t="n">
        <v>17</v>
      </c>
      <c r="B22" s="38" t="inlineStr">
        <is>
          <t>DoD bổ sung</t>
        </is>
      </c>
      <c r="C22" s="39" t="inlineStr">
        <is>
          <t>S8-DoD-2</t>
        </is>
      </c>
      <c r="D22" s="38" t="inlineStr">
        <is>
          <t>Hai chỗ rớt phễu lớn nhất đã có thay đổi cụ thể và đo lại được — ghi rõ "trước / sau" trong issue</t>
        </is>
      </c>
      <c r="E22" s="37" t="inlineStr">
        <is>
          <t>S8</t>
        </is>
      </c>
      <c r="F22" s="38" t="inlineStr"/>
      <c r="G22" s="37" t="inlineStr"/>
      <c r="H22" s="37" t="inlineStr"/>
      <c r="I22" s="37" t="inlineStr">
        <is>
          <t>Chưa làm</t>
        </is>
      </c>
      <c r="J22" s="38" t="inlineStr"/>
      <c r="K22" s="38" t="inlineStr">
        <is>
          <t>Doc 08 §6</t>
        </is>
      </c>
      <c r="L22" s="38" t="n"/>
      <c r="M22" s="38" t="n"/>
    </row>
    <row r="23" ht="34" customHeight="1">
      <c r="A23" s="37" t="n">
        <v>18</v>
      </c>
      <c r="B23" s="38" t="inlineStr">
        <is>
          <t>DoD bổ sung</t>
        </is>
      </c>
      <c r="C23" s="39" t="inlineStr">
        <is>
          <t>S8-DoD-3</t>
        </is>
      </c>
      <c r="D23" s="38" t="inlineStr">
        <is>
          <t>Bản dịch tiếng Việt được một người Việt không thuộc đội đọc lại toàn bộ, chấm ≥ 4/5 về độ tự nhiên</t>
        </is>
      </c>
      <c r="E23" s="37" t="inlineStr">
        <is>
          <t>S8</t>
        </is>
      </c>
      <c r="F23" s="38" t="inlineStr"/>
      <c r="G23" s="37" t="inlineStr"/>
      <c r="H23" s="37" t="inlineStr"/>
      <c r="I23" s="37" t="inlineStr">
        <is>
          <t>Chưa làm</t>
        </is>
      </c>
      <c r="J23" s="38" t="inlineStr"/>
      <c r="K23" s="38" t="inlineStr">
        <is>
          <t>Doc 08 §6</t>
        </is>
      </c>
      <c r="L23" s="38" t="n"/>
      <c r="M23" s="38" t="n"/>
    </row>
    <row r="24" ht="34" customHeight="1">
      <c r="A24" s="37" t="n">
        <v>19</v>
      </c>
      <c r="B24" s="38" t="inlineStr">
        <is>
          <t>DoD bổ sung</t>
        </is>
      </c>
      <c r="C24" s="39" t="inlineStr">
        <is>
          <t>S8-DoD-4</t>
        </is>
      </c>
      <c r="D24" s="38" t="inlineStr">
        <is>
          <t>Thời gian tải danh sách khám phá trên 4G mô phỏng &lt; 2,5 giây tới nội dung đầu tiên</t>
        </is>
      </c>
      <c r="E24" s="37" t="inlineStr">
        <is>
          <t>S8</t>
        </is>
      </c>
      <c r="F24" s="38" t="inlineStr"/>
      <c r="G24" s="37" t="inlineStr"/>
      <c r="H24" s="37" t="inlineStr"/>
      <c r="I24" s="37" t="inlineStr">
        <is>
          <t>Chưa làm</t>
        </is>
      </c>
      <c r="J24" s="38" t="inlineStr"/>
      <c r="K24" s="38" t="inlineStr">
        <is>
          <t>Doc 08 §6</t>
        </is>
      </c>
      <c r="L24" s="38" t="n"/>
      <c r="M24" s="38" t="n"/>
    </row>
    <row r="25" ht="34" customHeight="1">
      <c r="A25" s="37" t="n">
        <v>20</v>
      </c>
      <c r="B25" s="38" t="inlineStr">
        <is>
          <t>DoD bổ sung</t>
        </is>
      </c>
      <c r="C25" s="39" t="inlineStr">
        <is>
          <t>S8-DoD-5</t>
        </is>
      </c>
      <c r="D25" s="38" t="inlineStr">
        <is>
          <t>Realtime: nếu WebSocket rớt thì tự hạ cấp về polling 30 giây, không hiện lỗi cho người dùng</t>
        </is>
      </c>
      <c r="E25" s="37" t="inlineStr">
        <is>
          <t>S8</t>
        </is>
      </c>
      <c r="F25" s="38" t="inlineStr"/>
      <c r="G25" s="37" t="inlineStr"/>
      <c r="H25" s="37" t="inlineStr"/>
      <c r="I25" s="37" t="inlineStr">
        <is>
          <t>Chưa làm</t>
        </is>
      </c>
      <c r="J25" s="38" t="inlineStr"/>
      <c r="K25" s="38" t="inlineStr">
        <is>
          <t>Doc 08 §6</t>
        </is>
      </c>
      <c r="L25" s="38" t="n"/>
      <c r="M25" s="38" t="n"/>
    </row>
    <row r="26" ht="49" customHeight="1">
      <c r="A26" s="37" t="n">
        <v>21</v>
      </c>
      <c r="B26" s="38" t="inlineStr">
        <is>
          <t>DoD bổ sung</t>
        </is>
      </c>
      <c r="C26" s="39" t="inlineStr">
        <is>
          <t>S9-DoD-1</t>
        </is>
      </c>
      <c r="D26" s="38" t="inlineStr">
        <is>
          <t>Sự kiện lặp lại: recurrence_rule sinh occurrence trước 12 tuần, sửa một buổi không ảnh hưởng các buổi khác, huỷ chuỗi hỏi rõ "buổi này hay tất cả buổi sau"</t>
        </is>
      </c>
      <c r="E26" s="37" t="inlineStr">
        <is>
          <t>S9</t>
        </is>
      </c>
      <c r="F26" s="38" t="inlineStr"/>
      <c r="G26" s="37" t="inlineStr"/>
      <c r="H26" s="37" t="inlineStr"/>
      <c r="I26" s="37" t="inlineStr">
        <is>
          <t>Chưa làm</t>
        </is>
      </c>
      <c r="J26" s="38" t="inlineStr"/>
      <c r="K26" s="38" t="inlineStr">
        <is>
          <t>Doc 08 §6</t>
        </is>
      </c>
      <c r="L26" s="38" t="n"/>
      <c r="M26" s="38" t="n"/>
    </row>
    <row r="27" ht="34" customHeight="1">
      <c r="A27" s="37" t="n">
        <v>22</v>
      </c>
      <c r="B27" s="38" t="inlineStr">
        <is>
          <t>DoD bổ sung</t>
        </is>
      </c>
      <c r="C27" s="39" t="inlineStr">
        <is>
          <t>S9-DoD-2</t>
        </is>
      </c>
      <c r="D27" s="38" t="inlineStr">
        <is>
          <t>Release candidate v1.0.0-rc.1 đã dựng bằng profile production, đã chạy hồi quy đầy đủ, không có lỗi chặn</t>
        </is>
      </c>
      <c r="E27" s="37" t="inlineStr">
        <is>
          <t>S9</t>
        </is>
      </c>
      <c r="F27" s="38" t="inlineStr"/>
      <c r="G27" s="37" t="inlineStr"/>
      <c r="H27" s="37" t="inlineStr"/>
      <c r="I27" s="37" t="inlineStr">
        <is>
          <t>Chưa làm</t>
        </is>
      </c>
      <c r="J27" s="38" t="inlineStr"/>
      <c r="K27" s="38" t="inlineStr">
        <is>
          <t>Doc 08 §6</t>
        </is>
      </c>
      <c r="L27" s="38" t="n"/>
      <c r="M27" s="38" t="n"/>
    </row>
    <row r="28" ht="49" customHeight="1">
      <c r="A28" s="37" t="n">
        <v>23</v>
      </c>
      <c r="B28" s="38" t="inlineStr">
        <is>
          <t>DoD bổ sung</t>
        </is>
      </c>
      <c r="C28" s="39" t="inlineStr">
        <is>
          <t>S9-DoD-3</t>
        </is>
      </c>
      <c r="D28" s="38" t="inlineStr">
        <is>
          <t>Trang chỉ mục theo khu vực và theo loại hình đã sinh sitemap, đã submit Search Console; Lighthouse SEO ≥ 95 trên 5 trang mẫu</t>
        </is>
      </c>
      <c r="E28" s="37" t="inlineStr">
        <is>
          <t>S9</t>
        </is>
      </c>
      <c r="F28" s="38" t="inlineStr"/>
      <c r="G28" s="37" t="inlineStr"/>
      <c r="H28" s="37" t="inlineStr"/>
      <c r="I28" s="37" t="inlineStr">
        <is>
          <t>Chưa làm</t>
        </is>
      </c>
      <c r="J28" s="38" t="inlineStr"/>
      <c r="K28" s="38" t="inlineStr">
        <is>
          <t>Doc 08 §6</t>
        </is>
      </c>
      <c r="L28" s="38" t="n"/>
      <c r="M28" s="38" t="n"/>
    </row>
    <row r="29" ht="64" customHeight="1">
      <c r="A29" s="37" t="n">
        <v>24</v>
      </c>
      <c r="B29" s="38" t="inlineStr">
        <is>
          <t>DoD bổ sung</t>
        </is>
      </c>
      <c r="C29" s="39" t="inlineStr">
        <is>
          <t>S9-DoD-4</t>
        </is>
      </c>
      <c r="D29" s="38" t="inlineStr">
        <is>
          <t>Diễn tập runbook sự cố thật: cố ý tắt Redis trên staging trong giờ làm việc → đo thời gian phát hiện (mục tiêu ≤ 5 phút) và thời gian khôi phục (mục tiêu ≤ 30 phút); biên bản diễn tập lưu lại</t>
        </is>
      </c>
      <c r="E29" s="37" t="inlineStr">
        <is>
          <t>S9</t>
        </is>
      </c>
      <c r="F29" s="38" t="inlineStr"/>
      <c r="G29" s="37" t="inlineStr"/>
      <c r="H29" s="37" t="inlineStr"/>
      <c r="I29" s="37" t="inlineStr">
        <is>
          <t>Chưa làm</t>
        </is>
      </c>
      <c r="J29" s="38" t="inlineStr"/>
      <c r="K29" s="38" t="inlineStr">
        <is>
          <t>Doc 08 §6</t>
        </is>
      </c>
      <c r="L29" s="38" t="n"/>
      <c r="M29" s="38" t="n"/>
    </row>
    <row r="30" ht="34" customHeight="1">
      <c r="A30" s="37" t="n">
        <v>25</v>
      </c>
      <c r="B30" s="38" t="inlineStr">
        <is>
          <t>DoD bổ sung</t>
        </is>
      </c>
      <c r="C30" s="39" t="inlineStr">
        <is>
          <t>S9-DoD-5</t>
        </is>
      </c>
      <c r="D30" s="38" t="inlineStr">
        <is>
          <t>Ảnh chụp màn hình cửa hàng dùng dữ liệu thật đã được phép, không dùng ảnh người không có đồng ý</t>
        </is>
      </c>
      <c r="E30" s="37" t="inlineStr">
        <is>
          <t>S9</t>
        </is>
      </c>
      <c r="F30" s="38" t="inlineStr"/>
      <c r="G30" s="37" t="inlineStr"/>
      <c r="H30" s="37" t="inlineStr"/>
      <c r="I30" s="37" t="inlineStr">
        <is>
          <t>Chưa làm</t>
        </is>
      </c>
      <c r="J30" s="38" t="inlineStr"/>
      <c r="K30" s="38" t="inlineStr">
        <is>
          <t>Doc 08 §6</t>
        </is>
      </c>
      <c r="L30" s="38" t="n"/>
      <c r="M30" s="38" t="n"/>
    </row>
    <row r="31" ht="34" customHeight="1">
      <c r="A31" s="37" t="n">
        <v>26</v>
      </c>
      <c r="B31" s="38" t="inlineStr">
        <is>
          <t>DoD bổ sung</t>
        </is>
      </c>
      <c r="C31" s="39" t="inlineStr">
        <is>
          <t>S9-DoD-6</t>
        </is>
      </c>
      <c r="D31" s="38" t="inlineStr">
        <is>
          <t>Tài khoản demo cho reviewer cửa hàng đã tạo, có sẵn dữ liệu, thông tin đăng nhập đã ghi vào App Review Notes</t>
        </is>
      </c>
      <c r="E31" s="37" t="inlineStr">
        <is>
          <t>S9</t>
        </is>
      </c>
      <c r="F31" s="38" t="inlineStr"/>
      <c r="G31" s="37" t="inlineStr"/>
      <c r="H31" s="37" t="inlineStr"/>
      <c r="I31" s="37" t="inlineStr">
        <is>
          <t>Chưa làm</t>
        </is>
      </c>
      <c r="J31" s="38" t="inlineStr"/>
      <c r="K31" s="38" t="inlineStr">
        <is>
          <t>Doc 08 §6</t>
        </is>
      </c>
      <c r="L31" s="38" t="n"/>
      <c r="M31" s="38" t="n"/>
    </row>
    <row r="32" ht="19" customHeight="1">
      <c r="A32" s="37" t="n">
        <v>27</v>
      </c>
      <c r="B32" s="38" t="inlineStr">
        <is>
          <t>DoD bổ sung</t>
        </is>
      </c>
      <c r="C32" s="39" t="inlineStr">
        <is>
          <t>S10-DoD-1</t>
        </is>
      </c>
      <c r="D32" s="38" t="inlineStr">
        <is>
          <t>Toàn bộ checklist §12 đã tích xanh, có tên người ký từng mục</t>
        </is>
      </c>
      <c r="E32" s="37" t="inlineStr">
        <is>
          <t>S10</t>
        </is>
      </c>
      <c r="F32" s="38" t="inlineStr"/>
      <c r="G32" s="37" t="inlineStr"/>
      <c r="H32" s="37" t="inlineStr"/>
      <c r="I32" s="37" t="inlineStr">
        <is>
          <t>Chưa làm</t>
        </is>
      </c>
      <c r="J32" s="38" t="inlineStr"/>
      <c r="K32" s="38" t="inlineStr">
        <is>
          <t>Doc 08 §6</t>
        </is>
      </c>
      <c r="L32" s="38" t="n"/>
      <c r="M32" s="38" t="n"/>
    </row>
    <row r="33" ht="49" customHeight="1">
      <c r="A33" s="37" t="n">
        <v>28</v>
      </c>
      <c r="B33" s="38" t="inlineStr">
        <is>
          <t>DoD bổ sung</t>
        </is>
      </c>
      <c r="C33" s="39" t="inlineStr">
        <is>
          <t>S10-DoD-2</t>
        </is>
      </c>
      <c r="D33" s="38" t="inlineStr">
        <is>
          <t>Chuông báo (alerting) đã bật cho: tỷ lệ lỗi 5xx &gt; 1%, độ trễ p95 &gt; 800 ms, hàng đợi BullMQ tồn &gt; 500 job, Postgres kết nối &gt; 80%</t>
        </is>
      </c>
      <c r="E33" s="37" t="inlineStr">
        <is>
          <t>S10</t>
        </is>
      </c>
      <c r="F33" s="38" t="inlineStr"/>
      <c r="G33" s="37" t="inlineStr"/>
      <c r="H33" s="37" t="inlineStr"/>
      <c r="I33" s="37" t="inlineStr">
        <is>
          <t>Chưa làm</t>
        </is>
      </c>
      <c r="J33" s="38" t="inlineStr"/>
      <c r="K33" s="38" t="inlineStr">
        <is>
          <t>Doc 08 §6</t>
        </is>
      </c>
      <c r="L33" s="38" t="n"/>
      <c r="M33" s="38" t="n"/>
    </row>
    <row r="34" ht="34" customHeight="1">
      <c r="A34" s="37" t="n">
        <v>29</v>
      </c>
      <c r="B34" s="38" t="inlineStr">
        <is>
          <t>DoD bổ sung</t>
        </is>
      </c>
      <c r="C34" s="39" t="inlineStr">
        <is>
          <t>S10-DoD-3</t>
        </is>
      </c>
      <c r="D34" s="38" t="inlineStr">
        <is>
          <t>Có phương án lùi (rollback) đã thử: web lùi trong ≤ 5 phút, mobile vá bằng EAS Update trong ≤ 30 phút</t>
        </is>
      </c>
      <c r="E34" s="37" t="inlineStr">
        <is>
          <t>S10</t>
        </is>
      </c>
      <c r="F34" s="38" t="inlineStr"/>
      <c r="G34" s="37" t="inlineStr"/>
      <c r="H34" s="37" t="inlineStr"/>
      <c r="I34" s="37" t="inlineStr">
        <is>
          <t>Chưa làm</t>
        </is>
      </c>
      <c r="J34" s="38" t="inlineStr"/>
      <c r="K34" s="38" t="inlineStr">
        <is>
          <t>Doc 08 §6</t>
        </is>
      </c>
      <c r="L34" s="38" t="n"/>
      <c r="M34" s="38" t="n"/>
    </row>
    <row r="35" ht="34" customHeight="1">
      <c r="A35" s="37" t="n">
        <v>30</v>
      </c>
      <c r="B35" s="38" t="inlineStr">
        <is>
          <t>DoD bổ sung</t>
        </is>
      </c>
      <c r="C35" s="39" t="inlineStr">
        <is>
          <t>S10-DoD-4</t>
        </is>
      </c>
      <c r="D35" s="38" t="inlineStr">
        <is>
          <t>War-room có kênh riêng, danh sách trực theo giờ, số điện thoại dự phòng</t>
        </is>
      </c>
      <c r="E35" s="37" t="inlineStr">
        <is>
          <t>S10</t>
        </is>
      </c>
      <c r="F35" s="38" t="inlineStr"/>
      <c r="G35" s="37" t="inlineStr"/>
      <c r="H35" s="37" t="inlineStr"/>
      <c r="I35" s="37" t="inlineStr">
        <is>
          <t>Chưa làm</t>
        </is>
      </c>
      <c r="J35" s="38" t="inlineStr"/>
      <c r="K35" s="38" t="inlineStr">
        <is>
          <t>Doc 08 §6</t>
        </is>
      </c>
      <c r="L35" s="38" t="n"/>
      <c r="M35" s="38" t="n"/>
    </row>
    <row r="36" ht="64" customHeight="1">
      <c r="A36" s="40" t="n">
        <v>31</v>
      </c>
      <c r="B36" s="41" t="inlineStr">
        <is>
          <t>Nghiệm thu</t>
        </is>
      </c>
      <c r="C36" s="42" t="inlineStr">
        <is>
          <t>M6-1</t>
        </is>
      </c>
      <c r="D36" s="41" t="inlineStr">
        <is>
          <t>Sự kiện đang mở mỗi tuần — đếm số occurrence có status = 'published', starts_at rơi trong tuần đó và còn nhận RSVP — ngưỡng: ≥ 25 mỗi tuần, trung bình 4 tuần liên tiếp 25/01 – 21/02/2027, và không tuần nào &lt; 20 (sàn tuyệt đối)</t>
        </is>
      </c>
      <c r="E36" s="40" t="inlineStr"/>
      <c r="F36" s="41" t="inlineStr"/>
      <c r="G36" s="40" t="inlineStr"/>
      <c r="H36" s="40" t="inlineStr"/>
      <c r="I36" s="40" t="inlineStr">
        <is>
          <t>Chưa làm</t>
        </is>
      </c>
      <c r="J36" s="41" t="inlineStr">
        <is>
          <t>Bằng chứng: Truy vấn tự động, báo cáo tuần</t>
        </is>
      </c>
      <c r="K36" s="41" t="inlineStr">
        <is>
          <t>Doc 08 §7</t>
        </is>
      </c>
      <c r="L36" s="41" t="n"/>
      <c r="M36" s="41" t="n"/>
    </row>
    <row r="37" ht="64" customHeight="1">
      <c r="A37" s="40" t="n">
        <v>32</v>
      </c>
      <c r="B37" s="41" t="inlineStr">
        <is>
          <t>Nghiệm thu</t>
        </is>
      </c>
      <c r="C37" s="42" t="inlineStr">
        <is>
          <t>M6-2</t>
        </is>
      </c>
      <c r="D37" s="41" t="inlineStr">
        <is>
          <t>Phủ khu vực — không khu vực MVP nào có 0 sự kiện đang mở — ngưỡng: 6/6 khu vực (An Thượng, Mỹ Khê, Mỹ An, Hải Châu, Sơn Trà, Ngũ Hành Sơn) có ≥ 1 sự kiện trong mỗi tuần của 4 tuần đo</t>
        </is>
      </c>
      <c r="E37" s="40" t="inlineStr"/>
      <c r="F37" s="41" t="inlineStr"/>
      <c r="G37" s="40" t="inlineStr"/>
      <c r="H37" s="40" t="inlineStr"/>
      <c r="I37" s="40" t="inlineStr">
        <is>
          <t>Chưa làm</t>
        </is>
      </c>
      <c r="J37" s="41" t="inlineStr">
        <is>
          <t>Bằng chứng: Bảng chéo tuần × khu vực</t>
        </is>
      </c>
      <c r="K37" s="41" t="inlineStr">
        <is>
          <t>Doc 08 §7</t>
        </is>
      </c>
      <c r="L37" s="41" t="n"/>
      <c r="M37" s="41" t="n"/>
    </row>
    <row r="38" ht="49" customHeight="1">
      <c r="A38" s="40" t="n">
        <v>33</v>
      </c>
      <c r="B38" s="41" t="inlineStr">
        <is>
          <t>Nghiệm thu</t>
        </is>
      </c>
      <c r="C38" s="42" t="inlineStr">
        <is>
          <t>M6-3</t>
        </is>
      </c>
      <c r="D38" s="41" t="inlineStr">
        <is>
          <t>WCA — Weekly Confirmed Attendances, số lượt tham dự đã xác nhận (checked_in) trong 7 ngày — ngưỡng: 220 – 280 lượt/tuần ở thời điểm M6. Ngưỡng cảnh báo đỏ: &lt; 110</t>
        </is>
      </c>
      <c r="E38" s="40" t="inlineStr"/>
      <c r="F38" s="41" t="inlineStr"/>
      <c r="G38" s="40" t="inlineStr"/>
      <c r="H38" s="40" t="inlineStr"/>
      <c r="I38" s="40" t="inlineStr">
        <is>
          <t>Chưa làm</t>
        </is>
      </c>
      <c r="J38" s="41" t="inlineStr">
        <is>
          <t>Bằng chứng: Truy vấn rsvps.status = 'checked_in'</t>
        </is>
      </c>
      <c r="K38" s="41" t="inlineStr">
        <is>
          <t>Doc 08 §7</t>
        </is>
      </c>
      <c r="L38" s="41" t="n"/>
      <c r="M38" s="41" t="n"/>
    </row>
    <row r="39" ht="49" customHeight="1">
      <c r="A39" s="40" t="n">
        <v>34</v>
      </c>
      <c r="B39" s="41" t="inlineStr">
        <is>
          <t>Nghiệm thu</t>
        </is>
      </c>
      <c r="C39" s="42" t="inlineStr">
        <is>
          <t>M6-4</t>
        </is>
      </c>
      <c r="D39" s="41" t="inlineStr">
        <is>
          <t>Organizer tự quản lý listing của mình (events.source = 'self_serve' và host_user_id là người thật) — ngưỡng: ≥ 8 organizer</t>
        </is>
      </c>
      <c r="E39" s="40" t="inlineStr"/>
      <c r="F39" s="41" t="inlineStr"/>
      <c r="G39" s="40" t="inlineStr"/>
      <c r="H39" s="40" t="inlineStr"/>
      <c r="I39" s="40" t="inlineStr">
        <is>
          <t>Chưa làm</t>
        </is>
      </c>
      <c r="J39" s="41" t="inlineStr">
        <is>
          <t>Bằng chứng: Truy vấn events gộp theo host_user_id</t>
        </is>
      </c>
      <c r="K39" s="41" t="inlineStr">
        <is>
          <t>Doc 08 §7</t>
        </is>
      </c>
      <c r="L39" s="41" t="n"/>
      <c r="M39" s="41" t="n"/>
    </row>
    <row r="40" ht="34" customHeight="1">
      <c r="A40" s="40" t="n">
        <v>35</v>
      </c>
      <c r="B40" s="41" t="inlineStr">
        <is>
          <t>Nghiệm thu</t>
        </is>
      </c>
      <c r="C40" s="42" t="inlineStr">
        <is>
          <t>M6-5</t>
        </is>
      </c>
      <c r="D40" s="41" t="inlineStr">
        <is>
          <t>Tỷ lệ sự kiện tự phục vụ trên tổng sự kiện đang mở — ngưỡng: ≥ 35%</t>
        </is>
      </c>
      <c r="E40" s="40" t="inlineStr"/>
      <c r="F40" s="41" t="inlineStr"/>
      <c r="G40" s="40" t="inlineStr"/>
      <c r="H40" s="40" t="inlineStr"/>
      <c r="I40" s="40" t="inlineStr">
        <is>
          <t>Chưa làm</t>
        </is>
      </c>
      <c r="J40" s="41" t="inlineStr">
        <is>
          <t>Bằng chứng: Báo cáo tuần</t>
        </is>
      </c>
      <c r="K40" s="41" t="inlineStr">
        <is>
          <t>Doc 08 §7</t>
        </is>
      </c>
      <c r="L40" s="41" t="n"/>
      <c r="M40" s="41" t="n"/>
    </row>
    <row r="41" ht="34" customHeight="1">
      <c r="A41" s="40" t="n">
        <v>36</v>
      </c>
      <c r="B41" s="41" t="inlineStr">
        <is>
          <t>Nghiệm thu</t>
        </is>
      </c>
      <c r="C41" s="42" t="inlineStr">
        <is>
          <t>M6-6</t>
        </is>
      </c>
      <c r="D41" s="41" t="inlineStr">
        <is>
          <t>App có mặt trên App Store và Google Play — ngưỡng: Cả hai, trạng thái available</t>
        </is>
      </c>
      <c r="E41" s="40" t="inlineStr"/>
      <c r="F41" s="41" t="inlineStr"/>
      <c r="G41" s="40" t="inlineStr"/>
      <c r="H41" s="40" t="inlineStr"/>
      <c r="I41" s="40" t="inlineStr">
        <is>
          <t>Chưa làm</t>
        </is>
      </c>
      <c r="J41" s="41" t="inlineStr">
        <is>
          <t>Bằng chứng: Link cửa hàng công khai</t>
        </is>
      </c>
      <c r="K41" s="41" t="inlineStr">
        <is>
          <t>Doc 08 §7</t>
        </is>
      </c>
      <c r="L41" s="41" t="n"/>
      <c r="M41" s="41" t="n"/>
    </row>
    <row r="42" ht="34" customHeight="1">
      <c r="A42" s="40" t="n">
        <v>37</v>
      </c>
      <c r="B42" s="41" t="inlineStr">
        <is>
          <t>Nghiệm thu</t>
        </is>
      </c>
      <c r="C42" s="42" t="inlineStr">
        <is>
          <t>M6-7</t>
        </is>
      </c>
      <c r="D42" s="41" t="inlineStr">
        <is>
          <t>Web production sống trên tên miền chính, HTTPS, có giám sát — ngưỡng: Đạt</t>
        </is>
      </c>
      <c r="E42" s="40" t="inlineStr"/>
      <c r="F42" s="41" t="inlineStr"/>
      <c r="G42" s="40" t="inlineStr"/>
      <c r="H42" s="40" t="inlineStr"/>
      <c r="I42" s="40" t="inlineStr">
        <is>
          <t>Chưa làm</t>
        </is>
      </c>
      <c r="J42" s="41" t="inlineStr">
        <is>
          <t>Bằng chứng: Bảng giám sát</t>
        </is>
      </c>
      <c r="K42" s="41" t="inlineStr">
        <is>
          <t>Doc 08 §7</t>
        </is>
      </c>
      <c r="L42" s="41" t="n"/>
      <c r="M42" s="41" t="n"/>
    </row>
    <row r="43" ht="19" customHeight="1">
      <c r="A43" s="40" t="n">
        <v>38</v>
      </c>
      <c r="B43" s="41" t="inlineStr">
        <is>
          <t>Nghiệm thu</t>
        </is>
      </c>
      <c r="C43" s="42" t="inlineStr">
        <is>
          <t>M6-8</t>
        </is>
      </c>
      <c r="D43" s="41" t="inlineStr">
        <is>
          <t>Crash-free session, đo 7 ngày trước ra mắt — ngưỡng: ≥ 99,5%</t>
        </is>
      </c>
      <c r="E43" s="40" t="inlineStr"/>
      <c r="F43" s="41" t="inlineStr"/>
      <c r="G43" s="40" t="inlineStr"/>
      <c r="H43" s="40" t="inlineStr"/>
      <c r="I43" s="40" t="inlineStr">
        <is>
          <t>Chưa làm</t>
        </is>
      </c>
      <c r="J43" s="41" t="inlineStr">
        <is>
          <t>Bằng chứng: Sentry</t>
        </is>
      </c>
      <c r="K43" s="41" t="inlineStr">
        <is>
          <t>Doc 08 §7</t>
        </is>
      </c>
      <c r="L43" s="41" t="n"/>
      <c r="M43" s="41" t="n"/>
    </row>
    <row r="44" ht="34" customHeight="1">
      <c r="A44" s="40" t="n">
        <v>39</v>
      </c>
      <c r="B44" s="41" t="inlineStr">
        <is>
          <t>Nghiệm thu</t>
        </is>
      </c>
      <c r="C44" s="42" t="inlineStr">
        <is>
          <t>M6-9</t>
        </is>
      </c>
      <c r="D44" s="41" t="inlineStr">
        <is>
          <t>Beta user hoạt động chuyển tiếp sang bản công khai — ngưỡng: ≥ 100</t>
        </is>
      </c>
      <c r="E44" s="40" t="inlineStr"/>
      <c r="F44" s="41" t="inlineStr"/>
      <c r="G44" s="40" t="inlineStr"/>
      <c r="H44" s="40" t="inlineStr"/>
      <c r="I44" s="40" t="inlineStr">
        <is>
          <t>Chưa làm</t>
        </is>
      </c>
      <c r="J44" s="41" t="inlineStr">
        <is>
          <t>Bằng chứng: Bảng phân tích</t>
        </is>
      </c>
      <c r="K44" s="41" t="inlineStr">
        <is>
          <t>Doc 08 §7</t>
        </is>
      </c>
      <c r="L44" s="41" t="n"/>
      <c r="M44" s="41" t="n"/>
    </row>
    <row r="45" ht="49" customHeight="1">
      <c r="A45" s="40" t="n">
        <v>40</v>
      </c>
      <c r="B45" s="41" t="inlineStr">
        <is>
          <t>Nghiệm thu</t>
        </is>
      </c>
      <c r="C45" s="42" t="inlineStr">
        <is>
          <t>M6-10</t>
        </is>
      </c>
      <c r="D45" s="41" t="inlineStr">
        <is>
          <t>Runbook sự cố đã diễn tập thật (không phải chỉ viết ra) — ngưỡng: 1 lần diễn tập có biên bản, thời gian phát hiện ≤ 5 phút, khôi phục ≤ 30 phút</t>
        </is>
      </c>
      <c r="E45" s="40" t="inlineStr"/>
      <c r="F45" s="41" t="inlineStr"/>
      <c r="G45" s="40" t="inlineStr"/>
      <c r="H45" s="40" t="inlineStr"/>
      <c r="I45" s="40" t="inlineStr">
        <is>
          <t>Chưa làm</t>
        </is>
      </c>
      <c r="J45" s="41" t="inlineStr">
        <is>
          <t>Bằng chứng: Biên bản diễn tập S9</t>
        </is>
      </c>
      <c r="K45" s="41" t="inlineStr">
        <is>
          <t>Doc 08 §7</t>
        </is>
      </c>
      <c r="L45" s="41" t="n"/>
      <c r="M45" s="41" t="n"/>
    </row>
    <row r="46" ht="34" customHeight="1">
      <c r="A46" s="40" t="n">
        <v>41</v>
      </c>
      <c r="B46" s="41" t="inlineStr">
        <is>
          <t>Nghiệm thu</t>
        </is>
      </c>
      <c r="C46" s="42" t="inlineStr">
        <is>
          <t>M6-11</t>
        </is>
      </c>
      <c r="D46" s="41" t="inlineStr">
        <is>
          <t>Toàn bộ checklist §12 tích xanh, có tên người ký từng mục — ngưỡng: 100%</t>
        </is>
      </c>
      <c r="E46" s="40" t="inlineStr"/>
      <c r="F46" s="41" t="inlineStr"/>
      <c r="G46" s="40" t="inlineStr"/>
      <c r="H46" s="40" t="inlineStr"/>
      <c r="I46" s="40" t="inlineStr">
        <is>
          <t>Chưa làm</t>
        </is>
      </c>
      <c r="J46" s="41" t="inlineStr">
        <is>
          <t>Bằng chứng: Checklist đã ký</t>
        </is>
      </c>
      <c r="K46" s="41" t="inlineStr">
        <is>
          <t>Doc 08 §7</t>
        </is>
      </c>
      <c r="L46" s="41" t="n"/>
      <c r="M46" s="41" t="n"/>
    </row>
    <row r="47" ht="34" customHeight="1">
      <c r="A47" s="43" t="n">
        <v>42</v>
      </c>
      <c r="B47" s="44" t="inlineStr">
        <is>
          <t>Demo</t>
        </is>
      </c>
      <c r="C47" s="45" t="inlineStr">
        <is>
          <t>S8-Demo-1</t>
        </is>
      </c>
      <c r="D47" s="44" t="inlineStr">
        <is>
          <t>Bảng lỗi beta: mở đầu sprint bao nhiêu, đóng bao nhiêu, còn lại bao nhiêu</t>
        </is>
      </c>
      <c r="E47" s="43" t="inlineStr">
        <is>
          <t>S8</t>
        </is>
      </c>
      <c r="F47" s="44" t="inlineStr"/>
      <c r="G47" s="43" t="inlineStr"/>
      <c r="H47" s="43" t="inlineStr"/>
      <c r="I47" s="43" t="inlineStr">
        <is>
          <t>Chưa làm</t>
        </is>
      </c>
      <c r="J47" s="44" t="inlineStr"/>
      <c r="K47" s="44" t="inlineStr">
        <is>
          <t>Doc 08 §6</t>
        </is>
      </c>
      <c r="L47" s="44" t="n"/>
      <c r="M47" s="44" t="n"/>
    </row>
    <row r="48" ht="34" customHeight="1">
      <c r="A48" s="43" t="n">
        <v>43</v>
      </c>
      <c r="B48" s="44" t="inlineStr">
        <is>
          <t>Demo</t>
        </is>
      </c>
      <c r="C48" s="45" t="inlineStr">
        <is>
          <t>S8-Demo-2</t>
        </is>
      </c>
      <c r="D48" s="44" t="inlineStr">
        <is>
          <t>Hai màn hình đã sửa, đặt cạnh ảnh chụp bản cũ, kèm số liệu phễu trước/sau</t>
        </is>
      </c>
      <c r="E48" s="43" t="inlineStr">
        <is>
          <t>S8</t>
        </is>
      </c>
      <c r="F48" s="44" t="inlineStr"/>
      <c r="G48" s="43" t="inlineStr"/>
      <c r="H48" s="43" t="inlineStr"/>
      <c r="I48" s="43" t="inlineStr">
        <is>
          <t>Chưa làm</t>
        </is>
      </c>
      <c r="J48" s="44" t="inlineStr"/>
      <c r="K48" s="44" t="inlineStr">
        <is>
          <t>Doc 08 §6</t>
        </is>
      </c>
      <c r="L48" s="44" t="n"/>
      <c r="M48" s="44" t="n"/>
    </row>
    <row r="49" ht="34" customHeight="1">
      <c r="A49" s="43" t="n">
        <v>44</v>
      </c>
      <c r="B49" s="44" t="inlineStr">
        <is>
          <t>Demo</t>
        </is>
      </c>
      <c r="C49" s="45" t="inlineStr">
        <is>
          <t>S8-Demo-3</t>
        </is>
      </c>
      <c r="D49" s="44" t="inlineStr">
        <is>
          <t>Mở hai thiết bị cạnh nhau: một máy RSVP → máy kia thấy số chỗ giảm ngay</t>
        </is>
      </c>
      <c r="E49" s="43" t="inlineStr">
        <is>
          <t>S8</t>
        </is>
      </c>
      <c r="F49" s="44" t="inlineStr"/>
      <c r="G49" s="43" t="inlineStr"/>
      <c r="H49" s="43" t="inlineStr"/>
      <c r="I49" s="43" t="inlineStr">
        <is>
          <t>Chưa làm</t>
        </is>
      </c>
      <c r="J49" s="44" t="inlineStr"/>
      <c r="K49" s="44" t="inlineStr">
        <is>
          <t>Doc 08 §6</t>
        </is>
      </c>
      <c r="L49" s="44" t="n"/>
      <c r="M49" s="44" t="n"/>
    </row>
    <row r="50" ht="19" customHeight="1">
      <c r="A50" s="43" t="n">
        <v>45</v>
      </c>
      <c r="B50" s="44" t="inlineStr">
        <is>
          <t>Demo</t>
        </is>
      </c>
      <c r="C50" s="45" t="inlineStr">
        <is>
          <t>S8-Demo-4</t>
        </is>
      </c>
      <c r="D50" s="44" t="inlineStr">
        <is>
          <t>Duyệt toàn bộ app ở chế độ tiếng Việt, không còn chuỗi lai</t>
        </is>
      </c>
      <c r="E50" s="43" t="inlineStr">
        <is>
          <t>S8</t>
        </is>
      </c>
      <c r="F50" s="44" t="inlineStr"/>
      <c r="G50" s="43" t="inlineStr"/>
      <c r="H50" s="43" t="inlineStr"/>
      <c r="I50" s="43" t="inlineStr">
        <is>
          <t>Chưa làm</t>
        </is>
      </c>
      <c r="J50" s="44" t="inlineStr"/>
      <c r="K50" s="44" t="inlineStr">
        <is>
          <t>Doc 08 §6</t>
        </is>
      </c>
      <c r="L50" s="44" t="n"/>
      <c r="M50" s="44" t="n"/>
    </row>
    <row r="51" ht="49" customHeight="1">
      <c r="A51" s="43" t="n">
        <v>46</v>
      </c>
      <c r="B51" s="44" t="inlineStr">
        <is>
          <t>Demo</t>
        </is>
      </c>
      <c r="C51" s="45" t="inlineStr">
        <is>
          <t>S9-Demo-1</t>
        </is>
      </c>
      <c r="D51" s="44" t="inlineStr">
        <is>
          <t>Tạo một lớp trao đổi ngôn ngữ lặp mỗi Thứ Ba trong 12 tuần → 12 occurrence hiện ra, RSVP vào một buổi không ảnh hưởng buổi khác</t>
        </is>
      </c>
      <c r="E51" s="43" t="inlineStr">
        <is>
          <t>S9</t>
        </is>
      </c>
      <c r="F51" s="44" t="inlineStr"/>
      <c r="G51" s="43" t="inlineStr"/>
      <c r="H51" s="43" t="inlineStr"/>
      <c r="I51" s="43" t="inlineStr">
        <is>
          <t>Chưa làm</t>
        </is>
      </c>
      <c r="J51" s="44" t="inlineStr"/>
      <c r="K51" s="44" t="inlineStr">
        <is>
          <t>Doc 08 §6</t>
        </is>
      </c>
      <c r="L51" s="44" t="n"/>
      <c r="M51" s="44" t="n"/>
    </row>
    <row r="52" ht="34" customHeight="1">
      <c r="A52" s="43" t="n">
        <v>47</v>
      </c>
      <c r="B52" s="44" t="inlineStr">
        <is>
          <t>Demo</t>
        </is>
      </c>
      <c r="C52" s="45" t="inlineStr">
        <is>
          <t>S9-Demo-2</t>
        </is>
      </c>
      <c r="D52" s="44" t="inlineStr">
        <is>
          <t>Trình bày trang cửa hàng giả lập với ảnh chụp màn hình và mô tả song ngữ</t>
        </is>
      </c>
      <c r="E52" s="43" t="inlineStr">
        <is>
          <t>S9</t>
        </is>
      </c>
      <c r="F52" s="44" t="inlineStr"/>
      <c r="G52" s="43" t="inlineStr"/>
      <c r="H52" s="43" t="inlineStr"/>
      <c r="I52" s="43" t="inlineStr">
        <is>
          <t>Chưa làm</t>
        </is>
      </c>
      <c r="J52" s="44" t="inlineStr"/>
      <c r="K52" s="44" t="inlineStr">
        <is>
          <t>Doc 08 §6</t>
        </is>
      </c>
      <c r="L52" s="44" t="n"/>
      <c r="M52" s="44" t="n"/>
    </row>
    <row r="53" ht="34" customHeight="1">
      <c r="A53" s="43" t="n">
        <v>48</v>
      </c>
      <c r="B53" s="44" t="inlineStr">
        <is>
          <t>Demo</t>
        </is>
      </c>
      <c r="C53" s="45" t="inlineStr">
        <is>
          <t>S9-Demo-3</t>
        </is>
      </c>
      <c r="D53" s="44" t="inlineStr">
        <is>
          <t>Xem lại video diễn tập tắt Redis, đọc biên bản thời gian phát hiện / khôi phục</t>
        </is>
      </c>
      <c r="E53" s="43" t="inlineStr">
        <is>
          <t>S9</t>
        </is>
      </c>
      <c r="F53" s="44" t="inlineStr"/>
      <c r="G53" s="43" t="inlineStr"/>
      <c r="H53" s="43" t="inlineStr"/>
      <c r="I53" s="43" t="inlineStr">
        <is>
          <t>Chưa làm</t>
        </is>
      </c>
      <c r="J53" s="44" t="inlineStr"/>
      <c r="K53" s="44" t="inlineStr">
        <is>
          <t>Doc 08 §6</t>
        </is>
      </c>
      <c r="L53" s="44" t="n"/>
      <c r="M53" s="44" t="n"/>
    </row>
    <row r="54" ht="19" customHeight="1">
      <c r="A54" s="43" t="n">
        <v>49</v>
      </c>
      <c r="B54" s="44" t="inlineStr">
        <is>
          <t>Demo</t>
        </is>
      </c>
      <c r="C54" s="45" t="inlineStr">
        <is>
          <t>S9-Demo-4</t>
        </is>
      </c>
      <c r="D54" s="44" t="inlineStr">
        <is>
          <t>Báo cáo tuần tự động gửi vào email lúc 09:00 Thứ Hai</t>
        </is>
      </c>
      <c r="E54" s="43" t="inlineStr">
        <is>
          <t>S9</t>
        </is>
      </c>
      <c r="F54" s="44" t="inlineStr"/>
      <c r="G54" s="43" t="inlineStr"/>
      <c r="H54" s="43" t="inlineStr"/>
      <c r="I54" s="43" t="inlineStr">
        <is>
          <t>Chưa làm</t>
        </is>
      </c>
      <c r="J54" s="44" t="inlineStr"/>
      <c r="K54" s="44" t="inlineStr">
        <is>
          <t>Doc 08 §6</t>
        </is>
      </c>
      <c r="L54" s="44" t="n"/>
      <c r="M54" s="44" t="n"/>
    </row>
    <row r="55" ht="34" customHeight="1">
      <c r="A55" s="49" t="n">
        <v>50</v>
      </c>
      <c r="B55" s="50" t="inlineStr">
        <is>
          <t>Bổ sung từ mockup</t>
        </is>
      </c>
      <c r="C55" s="51" t="inlineStr">
        <is>
          <t>MK-GATE-01</t>
        </is>
      </c>
      <c r="D55" s="50" t="inlineStr">
        <is>
          <t>Nếu giữ cổng swipe: job đo G1 / G2 hằng ngày trên AD-10, bật điểm vào deck khi đạt 3 tuần liên tiếp.</t>
        </is>
      </c>
      <c r="E55" s="49" t="inlineStr"/>
      <c r="F55" s="50" t="inlineStr">
        <is>
          <t>Tech Lead</t>
        </is>
      </c>
      <c r="G55" s="49" t="inlineStr"/>
      <c r="H55" s="49" t="inlineStr"/>
      <c r="I55" s="49" t="inlineStr">
        <is>
          <t>Chưa làm</t>
        </is>
      </c>
      <c r="J55" s="50" t="inlineStr"/>
      <c r="K55" s="50" t="inlineStr">
        <is>
          <t>Doc 14 §1.5</t>
        </is>
      </c>
      <c r="L55" s="50" t="n"/>
      <c r="M55" s="50" t="n"/>
    </row>
  </sheetData>
  <autoFilter ref="A5:M55"/>
  <mergeCells count="4">
    <mergeCell ref="A4:B4"/>
    <mergeCell ref="A3:M3"/>
    <mergeCell ref="A2:M2"/>
    <mergeCell ref="A1:M1"/>
  </mergeCells>
  <conditionalFormatting sqref="I6:I85">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onditionalFormatting>
  <dataValidations count="1">
    <dataValidation sqref="I6:I85" showDropDown="0" showInputMessage="0" showErrorMessage="1" allowBlank="1" errorTitle="Trạng thái không hợp lệ" error="Chọn một trong: Xong, Một phần, Chưa làm, Bị chặn, Cần chốt, Chưa xác nhận" type="list">
      <formula1>"Xong,Một phần,Chưa làm,Bị chặn,Cần chốt,Chưa xác nhận"</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4" customWidth="1" min="1" max="1"/>
    <col width="110" customWidth="1" min="2" max="2"/>
  </cols>
  <sheetData>
    <row r="1">
      <c r="A1" s="52" t="inlineStr">
        <is>
          <t>CÁCH DÙNG</t>
        </is>
      </c>
    </row>
    <row r="2" ht="33" customHeight="1">
      <c r="A2" s="15" t="inlineStr">
        <is>
          <t>Sửa được</t>
        </is>
      </c>
      <c r="B2" s="19" t="inlineStr">
        <is>
          <t>Ở các sheet M0–M6 chỉ sửa 4 cột: Trạng thái (chọn từ danh sách), Ghi chú / bằng chứng, Người xác nhận, Ngày xong. Sheet "Tổng quan" tự đếm lại bằng công thức, không cần sửa tay.</t>
        </is>
      </c>
    </row>
    <row r="3" ht="33" customHeight="1">
      <c r="A3" s="15" t="inlineStr">
        <is>
          <t>Ví dụ một dòng đã xong</t>
        </is>
      </c>
      <c r="B3" s="19" t="inlineStr">
        <is>
          <t>Trạng thái = Xong · Ghi chú = "Link run CI #128, 6 phút 40 giây" · Người xác nhận = Tech Lead · Ngày xong = 25/09/2026</t>
        </is>
      </c>
    </row>
    <row r="4">
      <c r="A4" s="52" t="inlineStr"/>
    </row>
    <row r="5">
      <c r="A5" s="52" t="inlineStr">
        <is>
          <t>TRẠNG THÁI</t>
        </is>
      </c>
    </row>
    <row r="6" ht="18" customHeight="1">
      <c r="A6" s="53" t="inlineStr">
        <is>
          <t>Xong</t>
        </is>
      </c>
      <c r="B6" s="19" t="inlineStr">
        <is>
          <t>Đã làm và có bằng chứng (test, ảnh, link).</t>
        </is>
      </c>
    </row>
    <row r="7" ht="18" customHeight="1">
      <c r="A7" s="54" t="inlineStr">
        <is>
          <t>Một phần</t>
        </is>
      </c>
      <c r="B7" s="19" t="inlineStr">
        <is>
          <t>Đã có code hoặc cấu hình nhưng còn thiếu phần được ghi ở cột Ghi chú.</t>
        </is>
      </c>
    </row>
    <row r="8" ht="18" customHeight="1">
      <c r="A8" s="55" t="inlineStr">
        <is>
          <t>Chưa làm</t>
        </is>
      </c>
      <c r="B8" s="19" t="inlineStr">
        <is>
          <t>Chưa bắt đầu. Mặc định cho các mục của M2–M6 chưa được kiểm tra chi tiết.</t>
        </is>
      </c>
    </row>
    <row r="9" ht="18" customHeight="1">
      <c r="A9" s="56" t="inlineStr">
        <is>
          <t>Bị chặn</t>
        </is>
      </c>
      <c r="B9" s="19" t="inlineStr">
        <is>
          <t>Không làm được cho tới khi việc khác xong (ghi rõ ở cột Ghi chú).</t>
        </is>
      </c>
    </row>
    <row r="10" ht="18" customHeight="1">
      <c r="A10" s="57" t="inlineStr">
        <is>
          <t>Cần chốt</t>
        </is>
      </c>
      <c r="B10" s="19" t="inlineStr">
        <is>
          <t>Cần một quyết định (Founder, Product Owner, Tech Lead, BA hoặc luật sư) trước khi làm.</t>
        </is>
      </c>
    </row>
    <row r="11" ht="18" customHeight="1">
      <c r="A11" s="58" t="inlineStr">
        <is>
          <t>Chưa xác nhận</t>
        </is>
      </c>
      <c r="B11" s="19" t="inlineStr">
        <is>
          <t>Việc ngoài repo (pháp lý, tài khoản, vận hành) chưa có bằng chứng; người phụ trách tự xác nhận.</t>
        </is>
      </c>
    </row>
    <row r="12">
      <c r="A12" s="52" t="inlineStr"/>
    </row>
    <row r="13">
      <c r="A13" s="52" t="inlineStr">
        <is>
          <t>NHÓM</t>
        </is>
      </c>
    </row>
    <row r="14" ht="18" customHeight="1">
      <c r="A14" s="15" t="inlineStr">
        <is>
          <t>Việc chặn &amp; cần chốt</t>
        </is>
      </c>
      <c r="B14" s="19" t="inlineStr">
        <is>
          <t>Quyết định hoặc việc tồn đọng phải xử lý trước hoặc đầu phase, nếu không sẽ chặn các story.</t>
        </is>
      </c>
    </row>
    <row r="15" ht="18" customHeight="1">
      <c r="A15" s="15" t="inlineStr">
        <is>
          <t>Story</t>
        </is>
      </c>
      <c r="B15" s="19" t="inlineStr">
        <is>
          <t>Story trong backlog, giao theo bảng san tải doc 08 §6.2.</t>
        </is>
      </c>
    </row>
    <row r="16" ht="18" customHeight="1">
      <c r="A16" s="15" t="inlineStr">
        <is>
          <t>DoD bổ sung</t>
        </is>
      </c>
      <c r="B16" s="19" t="inlineStr">
        <is>
          <t>Definition of Done bổ sung của từng sprint (doc 08 §6).</t>
        </is>
      </c>
    </row>
    <row r="17" ht="18" customHeight="1">
      <c r="A17" s="15" t="inlineStr">
        <is>
          <t>Nghiệm thu</t>
        </is>
      </c>
      <c r="B17" s="19" t="inlineStr">
        <is>
          <t>Tiêu chí nghiệm thu đo được của milestone (doc 08 §7).</t>
        </is>
      </c>
    </row>
    <row r="18" ht="18" customHeight="1">
      <c r="A18" s="15" t="inlineStr">
        <is>
          <t>Demo</t>
        </is>
      </c>
      <c r="B18" s="19" t="inlineStr">
        <is>
          <t>Phần demo được vào chiều thứ Sáu cuối sprint (doc 08 §6).</t>
        </is>
      </c>
    </row>
    <row r="19" ht="18" customHeight="1">
      <c r="A19" s="15" t="inlineStr">
        <is>
          <t>Việc ngoài SP</t>
        </is>
      </c>
      <c r="B19" s="19" t="inlineStr">
        <is>
          <t>Việc của Founder / Community Manager không tính story point.</t>
        </is>
      </c>
    </row>
    <row r="20" ht="33" customHeight="1">
      <c r="A20" s="15" t="inlineStr">
        <is>
          <t>Bổ sung từ mockup</t>
        </is>
      </c>
      <c r="B20" s="19" t="inlineStr">
        <is>
          <t>Việc mới lộ ra khi dựng bộ mockup web (docs/mockups/, 18–19/09/2026) và các quyết định của chủ dự án ngày 19/09.</t>
        </is>
      </c>
    </row>
    <row r="21">
      <c r="A21" s="52" t="inlineStr"/>
    </row>
    <row r="22">
      <c r="A22" s="52" t="inlineStr">
        <is>
          <t>NGUỒN TRẠNG THÁI</t>
        </is>
      </c>
    </row>
    <row r="23" ht="33" customHeight="1">
      <c r="A23" s="15" t="inlineStr">
        <is>
          <t>Kiểm tra code 18/09/2026</t>
        </is>
      </c>
      <c r="B23" s="19" t="inlineStr">
        <is>
          <t>Đợt kiểm tra chỉ đọc code của Sprint 0 và Sprint 1, có đối chứng độc lập; bằng chứng dạng file:dòng ở cột Ghi chú.</t>
        </is>
      </c>
    </row>
    <row r="24" ht="33" customHeight="1">
      <c r="A24" s="15" t="inlineStr">
        <is>
          <t>Ghi chú phiên 01–02/09</t>
        </is>
      </c>
      <c r="B24" s="19" t="inlineStr">
        <is>
          <t>Các mục "Một phần" của M2–M3 lấy từ ghi chú phiên làm việc (.agent/memory/session-context.md), CHƯA kiểm chứng lại bằng code.</t>
        </is>
      </c>
    </row>
    <row r="25" ht="33" customHeight="1">
      <c r="A25" s="15" t="inlineStr">
        <is>
          <t>Tài liệu gốc</t>
        </is>
      </c>
      <c r="B25" s="19" t="inlineStr">
        <is>
          <t>docs/analysis/08-roadmap-va-ke-hoach-trien-khai.md (§6 sprint, §7 milestone), 00 (câu hỏi mở CH, mâu thuẫn MT), 02 (use case), 05 (trust), 14 (swipe).</t>
        </is>
      </c>
    </row>
    <row r="26" ht="33" customHeight="1">
      <c r="A26" s="15" t="inlineStr">
        <is>
          <t>Mockup</t>
        </is>
      </c>
      <c r="B26" s="19" t="inlineStr">
        <is>
          <t>docs/mockups/: ① auth-onboarding, ② web-discover (Trang chủ, Discover), ③ web-event, ④ web-myspace, ⑤ web-swipe.</t>
        </is>
      </c>
    </row>
    <row r="27">
      <c r="A27" s="52" t="inlineStr"/>
    </row>
    <row r="28">
      <c r="A28" s="52" t="inlineStr">
        <is>
          <t>MÃ PHỤ TRÁCH</t>
        </is>
      </c>
    </row>
    <row r="29" ht="18" customHeight="1">
      <c r="A29" s="15" t="inlineStr">
        <is>
          <t>Tech Lead · Backend · Web · Mobile</t>
        </is>
      </c>
      <c r="B29" s="19" t="inlineStr">
        <is>
          <t>Theo cột "Nhánh" của doc 08 (TL, BE, FE, MB). Web Admin = apps/web-admin-side.</t>
        </is>
      </c>
    </row>
    <row r="30" ht="18" customHeight="1">
      <c r="A30" s="15" t="inlineStr">
        <is>
          <t>Product Owner · Designer · Community Manager</t>
        </is>
      </c>
      <c r="B30" s="19" t="inlineStr">
        <is>
          <t>PO, DS, CM trong doc 08.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2026-09-19T07:08:51Z</dcterms:created>
  <dcterms:modified xsi:type="dcterms:W3CDTF">2026-09-19T07:08:52Z</dcterms:modified>
</cp:coreProperties>
</file>